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Data" sheetId="1" state="visible" ns1:id="rId1"/>
    <sheet name="MonthlyContext" sheetId="2" state="visible" ns1:id="rId2"/>
    <sheet name="Instructions" sheetId="3" state="visible" ns1:id="rId3"/>
  </sheet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;[Red]-$#,##0"/>
    <numFmt numFmtId="165" formatCode="0.0%;[Red]-0.0%"/>
    <numFmt numFmtId="166" formatCode="$#,##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erformanceData" displayName="PerformanceData" ref="A1:I19" headerRowCount="1">
  <autoFilter ref="A1:I19"/>
  <tableColumns count="9">
    <tableColumn id="1" name="Month"/>
    <tableColumn id="2" name="Category"/>
    <tableColumn id="3" name="Plan"/>
    <tableColumn id="4" name="Actual"/>
    <tableColumn id="5" name="Variance"/>
    <tableColumn id="6" name="VariancePct"/>
    <tableColumn id="7" name="Favorability"/>
    <tableColumn id="8" name="Owner"/>
    <tableColumn id="9" name="DataQualityFlag"/>
  </tableColumns>
  <tableStyleInfo name="TableStyleMedium2" showRowStripes="1"/>
</table>
</file>

<file path=xl/tables/table2.xml><?xml version="1.0" encoding="utf-8"?>
<table xmlns="http://schemas.openxmlformats.org/spreadsheetml/2006/main" id="2" name="MonthlyContext" displayName="MonthlyContext" ref="A1:F7" headerRowCount="1">
  <autoFilter ref="A1:F7"/>
  <tableColumns count="6">
    <tableColumn id="1" name="Month"/>
    <tableColumn id="2" name="Actual Premium Revenue"/>
    <tableColumn id="3" name="Actual Paid Claims"/>
    <tableColumn id="4" name="LossRatio"/>
    <tableColumn id="5" name="Source Rows"/>
    <tableColumn id="6" name="Review Flag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5" customWidth="1" min="7" max="7"/>
    <col width="18" customWidth="1" min="8" max="8"/>
    <col width="42" customWidth="1" min="9" max="9"/>
  </cols>
  <sheetData>
    <row r="1" ht="28" customHeight="1">
      <c r="A1" s="1" t="inlineStr">
        <is>
          <t>Month</t>
        </is>
      </c>
      <c r="B1" s="1" t="inlineStr">
        <is>
          <t>Category</t>
        </is>
      </c>
      <c r="C1" s="1" t="inlineStr">
        <is>
          <t>Plan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VariancePct</t>
        </is>
      </c>
      <c r="G1" s="1" t="inlineStr">
        <is>
          <t>Favorability</t>
        </is>
      </c>
      <c r="H1" s="1" t="inlineStr">
        <is>
          <t>Owner</t>
        </is>
      </c>
      <c r="I1" s="1" t="inlineStr">
        <is>
          <t>DataQualityFlag</t>
        </is>
      </c>
    </row>
    <row r="2">
      <c r="A2" s="2" t="inlineStr">
        <is>
          <t>Jan</t>
        </is>
      </c>
      <c r="B2" s="2" t="inlineStr">
        <is>
          <t>Premium Revenue</t>
        </is>
      </c>
      <c r="C2" s="3" t="n">
        <v>1250000</v>
      </c>
      <c r="D2" s="3" t="n">
        <v>1285000</v>
      </c>
      <c r="E2" s="3">
        <f>D2-C2</f>
        <v>35000</v>
      </c>
      <c r="F2" s="4">
        <f>IF(C2=0,0,E2/C2)</f>
        <v>0.028</v>
      </c>
      <c r="G2" s="2" t="str">
        <f>IF(B2="Premium Revenue",IF(E2&gt;=0,"Favorable","Unfavorable"),IF(E2&lt;=0,"Favorable","Unfavorable"))</f>
        <v>Favorable</v>
      </c>
      <c r="H2" s="2" t="inlineStr">
        <is>
          <t>Revenue Finance</t>
        </is>
      </c>
      <c r="I2" s="2" t="inlineStr">
        <is>
          <t>None</t>
        </is>
      </c>
    </row>
    <row r="3">
      <c r="A3" s="2" t="inlineStr">
        <is>
          <t>Jan</t>
        </is>
      </c>
      <c r="B3" s="2" t="inlineStr">
        <is>
          <t>Paid Claims</t>
        </is>
      </c>
      <c r="C3" s="3" t="n">
        <v>720000</v>
      </c>
      <c r="D3" s="3" t="n">
        <v>755000</v>
      </c>
      <c r="E3" s="3">
        <f>D3-C3</f>
        <v>35000</v>
      </c>
      <c r="F3" s="4">
        <f>IF(C3=0,0,E3/C3)</f>
        <v>0.04861111111111111</v>
      </c>
      <c r="G3" s="2" t="str">
        <f>IF(B3="Premium Revenue",IF(E3&gt;=0,"Favorable","Unfavorable"),IF(E3&lt;=0,"Favorable","Unfavorable"))</f>
        <v>Unfavorable</v>
      </c>
      <c r="H3" s="2" t="inlineStr">
        <is>
          <t>Claims Finance</t>
        </is>
      </c>
      <c r="I3" s="2" t="inlineStr">
        <is>
          <t>Supporting claim-detail schedule not included</t>
        </is>
      </c>
    </row>
    <row r="4">
      <c r="A4" s="2" t="inlineStr">
        <is>
          <t>Jan</t>
        </is>
      </c>
      <c r="B4" s="2" t="inlineStr">
        <is>
          <t>Operating Expense</t>
        </is>
      </c>
      <c r="C4" s="3" t="n">
        <v>310000</v>
      </c>
      <c r="D4" s="3" t="n">
        <v>318000</v>
      </c>
      <c r="E4" s="3">
        <f>D4-C4</f>
        <v>8000</v>
      </c>
      <c r="F4" s="4">
        <f>IF(C4=0,0,E4/C4)</f>
        <v>0.025806451612903226</v>
      </c>
      <c r="G4" s="2" t="str">
        <f>IF(B4="Premium Revenue",IF(E4&gt;=0,"Favorable","Unfavorable"),IF(E4&lt;=0,"Favorable","Unfavorable"))</f>
        <v>Unfavorable</v>
      </c>
      <c r="H4" s="2" t="inlineStr">
        <is>
          <t>FP&amp;A</t>
        </is>
      </c>
      <c r="I4" s="2" t="inlineStr">
        <is>
          <t>None</t>
        </is>
      </c>
    </row>
    <row r="5">
      <c r="A5" s="2" t="inlineStr">
        <is>
          <t>Feb</t>
        </is>
      </c>
      <c r="B5" s="2" t="inlineStr">
        <is>
          <t>Premium Revenue</t>
        </is>
      </c>
      <c r="C5" s="3" t="n">
        <v>1275000</v>
      </c>
      <c r="D5" s="3" t="n">
        <v>1260000</v>
      </c>
      <c r="E5" s="3">
        <f>D5-C5</f>
        <v>-15000</v>
      </c>
      <c r="F5" s="4">
        <f>IF(C5=0,0,E5/C5)</f>
        <v>-0.011764705882352941</v>
      </c>
      <c r="G5" s="2" t="str">
        <f>IF(B5="Premium Revenue",IF(E5&gt;=0,"Favorable","Unfavorable"),IF(E5&lt;=0,"Favorable","Unfavorable"))</f>
        <v>Unfavorable</v>
      </c>
      <c r="H5" s="2" t="inlineStr">
        <is>
          <t>Revenue Finance</t>
        </is>
      </c>
      <c r="I5" s="2" t="inlineStr">
        <is>
          <t>Channel detail not included</t>
        </is>
      </c>
    </row>
    <row r="6">
      <c r="A6" s="2" t="inlineStr">
        <is>
          <t>Feb</t>
        </is>
      </c>
      <c r="B6" s="2" t="inlineStr">
        <is>
          <t>Paid Claims</t>
        </is>
      </c>
      <c r="C6" s="3" t="n">
        <v>735000</v>
      </c>
      <c r="D6" s="3" t="n">
        <v>790000</v>
      </c>
      <c r="E6" s="3">
        <f>D6-C6</f>
        <v>55000</v>
      </c>
      <c r="F6" s="4">
        <f>IF(C6=0,0,E6/C6)</f>
        <v>0.07482993197278912</v>
      </c>
      <c r="G6" s="2" t="str">
        <f>IF(B6="Premium Revenue",IF(E6&gt;=0,"Favorable","Unfavorable"),IF(E6&lt;=0,"Favorable","Unfavorable"))</f>
        <v>Unfavorable</v>
      </c>
      <c r="H6" s="2" t="inlineStr">
        <is>
          <t>Claims Finance</t>
        </is>
      </c>
      <c r="I6" s="2" t="inlineStr">
        <is>
          <t>Supporting claim-detail schedule not included</t>
        </is>
      </c>
    </row>
    <row r="7">
      <c r="A7" s="2" t="inlineStr">
        <is>
          <t>Feb</t>
        </is>
      </c>
      <c r="B7" s="2" t="inlineStr">
        <is>
          <t>Operating Expense</t>
        </is>
      </c>
      <c r="C7" s="3" t="n">
        <v>312000</v>
      </c>
      <c r="D7" s="3" t="n">
        <v>329000</v>
      </c>
      <c r="E7" s="3">
        <f>D7-C7</f>
        <v>17000</v>
      </c>
      <c r="F7" s="4">
        <f>IF(C7=0,0,E7/C7)</f>
        <v>0.05448717948717949</v>
      </c>
      <c r="G7" s="2" t="str">
        <f>IF(B7="Premium Revenue",IF(E7&gt;=0,"Favorable","Unfavorable"),IF(E7&lt;=0,"Favorable","Unfavorable"))</f>
        <v>Unfavorable</v>
      </c>
      <c r="H7" s="2" t="inlineStr">
        <is>
          <t>FP&amp;A</t>
        </is>
      </c>
      <c r="I7" s="2" t="inlineStr">
        <is>
          <t>None</t>
        </is>
      </c>
    </row>
    <row r="8">
      <c r="A8" s="2" t="inlineStr">
        <is>
          <t>Mar</t>
        </is>
      </c>
      <c r="B8" s="2" t="inlineStr">
        <is>
          <t>Premium Revenue</t>
        </is>
      </c>
      <c r="C8" s="3" t="n">
        <v>1300000</v>
      </c>
      <c r="D8" s="3" t="n">
        <v>1318000</v>
      </c>
      <c r="E8" s="3">
        <f>D8-C8</f>
        <v>18000</v>
      </c>
      <c r="F8" s="4">
        <f>IF(C8=0,0,E8/C8)</f>
        <v>0.013846153846153847</v>
      </c>
      <c r="G8" s="2" t="str">
        <f>IF(B8="Premium Revenue",IF(E8&gt;=0,"Favorable","Unfavorable"),IF(E8&lt;=0,"Favorable","Unfavorable"))</f>
        <v>Favorable</v>
      </c>
      <c r="H8" s="2" t="inlineStr">
        <is>
          <t>Revenue Finance</t>
        </is>
      </c>
      <c r="I8" s="2" t="inlineStr">
        <is>
          <t>None</t>
        </is>
      </c>
    </row>
    <row r="9">
      <c r="A9" s="2" t="inlineStr">
        <is>
          <t>Mar</t>
        </is>
      </c>
      <c r="B9" s="2" t="inlineStr">
        <is>
          <t>Paid Claims</t>
        </is>
      </c>
      <c r="C9" s="3" t="n">
        <v>750000</v>
      </c>
      <c r="D9" s="3" t="n">
        <v>812000</v>
      </c>
      <c r="E9" s="3">
        <f>D9-C9</f>
        <v>62000</v>
      </c>
      <c r="F9" s="4">
        <f>IF(C9=0,0,E9/C9)</f>
        <v>0.08266666666666667</v>
      </c>
      <c r="G9" s="2" t="str">
        <f>IF(B9="Premium Revenue",IF(E9&gt;=0,"Favorable","Unfavorable"),IF(E9&lt;=0,"Favorable","Unfavorable"))</f>
        <v>Unfavorable</v>
      </c>
      <c r="H9" s="2" t="inlineStr">
        <is>
          <t>Claims Finance</t>
        </is>
      </c>
      <c r="I9" s="2" t="inlineStr">
        <is>
          <t>Supporting claim-detail schedule not included</t>
        </is>
      </c>
    </row>
    <row r="10">
      <c r="A10" s="2" t="inlineStr">
        <is>
          <t>Mar</t>
        </is>
      </c>
      <c r="B10" s="2" t="inlineStr">
        <is>
          <t>Operating Expense</t>
        </is>
      </c>
      <c r="C10" s="3" t="n">
        <v>315000</v>
      </c>
      <c r="D10" s="3" t="n">
        <v>347000</v>
      </c>
      <c r="E10" s="3">
        <f>D10-C10</f>
        <v>32000</v>
      </c>
      <c r="F10" s="4">
        <f>IF(C10=0,0,E10/C10)</f>
        <v>0.10158730158730159</v>
      </c>
      <c r="G10" s="2" t="str">
        <f>IF(B10="Premium Revenue",IF(E10&gt;=0,"Favorable","Unfavorable"),IF(E10&lt;=0,"Favorable","Unfavorable"))</f>
        <v>Unfavorable</v>
      </c>
      <c r="H10" s="2" t="inlineStr">
        <is>
          <t>FP&amp;A</t>
        </is>
      </c>
      <c r="I10" s="2" t="inlineStr">
        <is>
          <t>Final allocation review pending</t>
        </is>
      </c>
    </row>
    <row r="11">
      <c r="A11" s="2" t="inlineStr">
        <is>
          <t>Apr</t>
        </is>
      </c>
      <c r="B11" s="2" t="inlineStr">
        <is>
          <t>Premium Revenue</t>
        </is>
      </c>
      <c r="C11" s="3" t="n">
        <v>1325000</v>
      </c>
      <c r="D11" s="3" t="n">
        <v>1290000</v>
      </c>
      <c r="E11" s="3">
        <f>D11-C11</f>
        <v>-35000</v>
      </c>
      <c r="F11" s="4">
        <f>IF(C11=0,0,E11/C11)</f>
        <v>-0.026415094339622643</v>
      </c>
      <c r="G11" s="2" t="str">
        <f>IF(B11="Premium Revenue",IF(E11&gt;=0,"Favorable","Unfavorable"),IF(E11&lt;=0,"Favorable","Unfavorable"))</f>
        <v>Unfavorable</v>
      </c>
      <c r="H11" s="2" t="inlineStr">
        <is>
          <t>Revenue Finance</t>
        </is>
      </c>
      <c r="I11" s="2" t="inlineStr">
        <is>
          <t>Channel detail not included</t>
        </is>
      </c>
    </row>
    <row r="12">
      <c r="A12" s="2" t="inlineStr">
        <is>
          <t>Apr</t>
        </is>
      </c>
      <c r="B12" s="2" t="inlineStr">
        <is>
          <t>Paid Claims</t>
        </is>
      </c>
      <c r="C12" s="3" t="n">
        <v>760000</v>
      </c>
      <c r="D12" s="3" t="n">
        <v>801000</v>
      </c>
      <c r="E12" s="3">
        <f>D12-C12</f>
        <v>41000</v>
      </c>
      <c r="F12" s="4">
        <f>IF(C12=0,0,E12/C12)</f>
        <v>0.05394736842105263</v>
      </c>
      <c r="G12" s="2" t="str">
        <f>IF(B12="Premium Revenue",IF(E12&gt;=0,"Favorable","Unfavorable"),IF(E12&lt;=0,"Favorable","Unfavorable"))</f>
        <v>Unfavorable</v>
      </c>
      <c r="H12" s="2" t="inlineStr">
        <is>
          <t>Claims Finance</t>
        </is>
      </c>
      <c r="I12" s="2" t="inlineStr">
        <is>
          <t>Supporting claim-detail schedule not included</t>
        </is>
      </c>
    </row>
    <row r="13">
      <c r="A13" s="2" t="inlineStr">
        <is>
          <t>Apr</t>
        </is>
      </c>
      <c r="B13" s="2" t="inlineStr">
        <is>
          <t>Operating Expense</t>
        </is>
      </c>
      <c r="C13" s="3" t="n">
        <v>318000</v>
      </c>
      <c r="D13" s="3" t="n">
        <v>333000</v>
      </c>
      <c r="E13" s="3">
        <f>D13-C13</f>
        <v>15000</v>
      </c>
      <c r="F13" s="4">
        <f>IF(C13=0,0,E13/C13)</f>
        <v>0.04716981132075472</v>
      </c>
      <c r="G13" s="2" t="str">
        <f>IF(B13="Premium Revenue",IF(E13&gt;=0,"Favorable","Unfavorable"),IF(E13&lt;=0,"Favorable","Unfavorable"))</f>
        <v>Unfavorable</v>
      </c>
      <c r="H13" s="2" t="inlineStr">
        <is>
          <t>FP&amp;A</t>
        </is>
      </c>
      <c r="I13" s="2" t="inlineStr">
        <is>
          <t>None</t>
        </is>
      </c>
    </row>
    <row r="14">
      <c r="A14" s="2" t="inlineStr">
        <is>
          <t>May</t>
        </is>
      </c>
      <c r="B14" s="2" t="inlineStr">
        <is>
          <t>Premium Revenue</t>
        </is>
      </c>
      <c r="C14" s="3" t="n">
        <v>1350000</v>
      </c>
      <c r="D14" s="3" t="n">
        <v>1375000</v>
      </c>
      <c r="E14" s="3">
        <f>D14-C14</f>
        <v>25000</v>
      </c>
      <c r="F14" s="4">
        <f>IF(C14=0,0,E14/C14)</f>
        <v>0.018518518518518517</v>
      </c>
      <c r="G14" s="2" t="str">
        <f>IF(B14="Premium Revenue",IF(E14&gt;=0,"Favorable","Unfavorable"),IF(E14&lt;=0,"Favorable","Unfavorable"))</f>
        <v>Favorable</v>
      </c>
      <c r="H14" s="2" t="inlineStr">
        <is>
          <t>Revenue Finance</t>
        </is>
      </c>
      <c r="I14" s="2" t="inlineStr">
        <is>
          <t>None</t>
        </is>
      </c>
    </row>
    <row r="15">
      <c r="A15" s="2" t="inlineStr">
        <is>
          <t>May</t>
        </is>
      </c>
      <c r="B15" s="2" t="inlineStr">
        <is>
          <t>Paid Claims</t>
        </is>
      </c>
      <c r="C15" s="3" t="n">
        <v>775000</v>
      </c>
      <c r="D15" s="3" t="n">
        <v>824000</v>
      </c>
      <c r="E15" s="3">
        <f>D15-C15</f>
        <v>49000</v>
      </c>
      <c r="F15" s="4">
        <f>IF(C15=0,0,E15/C15)</f>
        <v>0.06322580645161291</v>
      </c>
      <c r="G15" s="2" t="str">
        <f>IF(B15="Premium Revenue",IF(E15&gt;=0,"Favorable","Unfavorable"),IF(E15&lt;=0,"Favorable","Unfavorable"))</f>
        <v>Unfavorable</v>
      </c>
      <c r="H15" s="2" t="inlineStr">
        <is>
          <t>Claims Finance</t>
        </is>
      </c>
      <c r="I15" s="2" t="inlineStr">
        <is>
          <t>Supporting claim-detail schedule not included</t>
        </is>
      </c>
    </row>
    <row r="16">
      <c r="A16" s="2" t="inlineStr">
        <is>
          <t>May</t>
        </is>
      </c>
      <c r="B16" s="2" t="inlineStr">
        <is>
          <t>Operating Expense</t>
        </is>
      </c>
      <c r="C16" s="3" t="n">
        <v>320000</v>
      </c>
      <c r="D16" s="3" t="n">
        <v>326000</v>
      </c>
      <c r="E16" s="3">
        <f>D16-C16</f>
        <v>6000</v>
      </c>
      <c r="F16" s="4">
        <f>IF(C16=0,0,E16/C16)</f>
        <v>0.01875</v>
      </c>
      <c r="G16" s="2" t="str">
        <f>IF(B16="Premium Revenue",IF(E16&gt;=0,"Favorable","Unfavorable"),IF(E16&lt;=0,"Favorable","Unfavorable"))</f>
        <v>Unfavorable</v>
      </c>
      <c r="H16" s="2" t="inlineStr">
        <is>
          <t>FP&amp;A</t>
        </is>
      </c>
      <c r="I16" s="2" t="inlineStr">
        <is>
          <t>None</t>
        </is>
      </c>
    </row>
    <row r="17">
      <c r="A17" s="2" t="inlineStr">
        <is>
          <t>Jun</t>
        </is>
      </c>
      <c r="B17" s="2" t="inlineStr">
        <is>
          <t>Premium Revenue</t>
        </is>
      </c>
      <c r="C17" s="3" t="n">
        <v>1375000</v>
      </c>
      <c r="D17" s="3" t="n">
        <v>1332000</v>
      </c>
      <c r="E17" s="3">
        <f>D17-C17</f>
        <v>-43000</v>
      </c>
      <c r="F17" s="4">
        <f>IF(C17=0,0,E17/C17)</f>
        <v>-0.03127272727272727</v>
      </c>
      <c r="G17" s="2" t="str">
        <f>IF(B17="Premium Revenue",IF(E17&gt;=0,"Favorable","Unfavorable"),IF(E17&lt;=0,"Favorable","Unfavorable"))</f>
        <v>Unfavorable</v>
      </c>
      <c r="H17" s="2" t="inlineStr">
        <is>
          <t>Revenue Finance</t>
        </is>
      </c>
      <c r="I17" s="2" t="inlineStr">
        <is>
          <t>Channel detail not included</t>
        </is>
      </c>
    </row>
    <row r="18">
      <c r="A18" s="2" t="inlineStr">
        <is>
          <t>Jun</t>
        </is>
      </c>
      <c r="B18" s="2" t="inlineStr">
        <is>
          <t>Paid Claims</t>
        </is>
      </c>
      <c r="C18" s="3" t="n">
        <v>790000</v>
      </c>
      <c r="D18" s="3" t="n">
        <v>858000</v>
      </c>
      <c r="E18" s="3">
        <f>D18-C18</f>
        <v>68000</v>
      </c>
      <c r="F18" s="4">
        <f>IF(C18=0,0,E18/C18)</f>
        <v>0.08607594936708861</v>
      </c>
      <c r="G18" s="2" t="str">
        <f>IF(B18="Premium Revenue",IF(E18&gt;=0,"Favorable","Unfavorable"),IF(E18&lt;=0,"Favorable","Unfavorable"))</f>
        <v>Unfavorable</v>
      </c>
      <c r="H18" s="2" t="inlineStr">
        <is>
          <t>Claims Finance</t>
        </is>
      </c>
      <c r="I18" s="2" t="inlineStr">
        <is>
          <t>Supporting claim-detail schedule not included</t>
        </is>
      </c>
    </row>
    <row r="19">
      <c r="A19" s="2" t="inlineStr">
        <is>
          <t>Jun</t>
        </is>
      </c>
      <c r="B19" s="2" t="inlineStr">
        <is>
          <t>Operating Expense</t>
        </is>
      </c>
      <c r="C19" s="3" t="n">
        <v>322000</v>
      </c>
      <c r="D19" s="3" t="n">
        <v>361000</v>
      </c>
      <c r="E19" s="3">
        <f>D19-C19</f>
        <v>39000</v>
      </c>
      <c r="F19" s="4">
        <f>IF(C19=0,0,E19/C19)</f>
        <v>0.12111801242236025</v>
      </c>
      <c r="G19" s="2" t="str">
        <f>IF(B19="Premium Revenue",IF(E19&gt;=0,"Favorable","Unfavorable"),IF(E19&lt;=0,"Favorable","Unfavorable"))</f>
        <v>Unfavorable</v>
      </c>
      <c r="H19" s="2" t="inlineStr">
        <is>
          <t>FP&amp;A</t>
        </is>
      </c>
      <c r="I19" s="2" t="inlineStr">
        <is>
          <t>Final allocation review pending</t>
        </is>
      </c>
    </row>
  </sheetData>
  <pageMargins left="0.75" right="0.75" top="1" bottom="1" header="0.5" footer="0.5"/>
  <tableParts count="1">
    <tablePart ns1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3" customWidth="1" min="4" max="4"/>
    <col width="23" customWidth="1" min="5" max="5"/>
    <col width="36" customWidth="1" min="6" max="6"/>
  </cols>
  <sheetData>
    <row r="1" ht="28" customHeight="1">
      <c r="A1" s="1" t="inlineStr">
        <is>
          <t>Month</t>
        </is>
      </c>
      <c r="B1" s="1" t="inlineStr">
        <is>
          <t>Actual Premium Revenue</t>
        </is>
      </c>
      <c r="C1" s="1" t="inlineStr">
        <is>
          <t>Actual Paid Claims</t>
        </is>
      </c>
      <c r="D1" s="1" t="inlineStr">
        <is>
          <t>LossRatio</t>
        </is>
      </c>
      <c r="E1" s="1" t="inlineStr">
        <is>
          <t>Source Rows</t>
        </is>
      </c>
      <c r="F1" s="1" t="inlineStr">
        <is>
          <t>Review Flag</t>
        </is>
      </c>
    </row>
    <row r="2">
      <c r="A2" s="2" t="inlineStr">
        <is>
          <t>Jan</t>
        </is>
      </c>
      <c r="B2" s="5">
        <f>PerformanceData!D2</f>
        <v>1285000</v>
      </c>
      <c r="C2" s="5">
        <f>PerformanceData!D3</f>
        <v>755000</v>
      </c>
      <c r="D2" s="6">
        <f>IF(B2=0,0,C2/B2)</f>
        <v>0.5875486381322957</v>
      </c>
      <c r="E2" s="2" t="inlineStr">
        <is>
          <t>PerformanceData rows 2-3</t>
        </is>
      </c>
      <c r="F2" s="2" t="inlineStr">
        <is>
          <t>Use only as context; no causal inference</t>
        </is>
      </c>
    </row>
    <row r="3">
      <c r="A3" s="2" t="inlineStr">
        <is>
          <t>Feb</t>
        </is>
      </c>
      <c r="B3" s="5">
        <f>PerformanceData!D5</f>
        <v>1260000</v>
      </c>
      <c r="C3" s="5">
        <f>PerformanceData!D6</f>
        <v>790000</v>
      </c>
      <c r="D3" s="6">
        <f>IF(B3=0,0,C3/B3)</f>
        <v>0.626984126984127</v>
      </c>
      <c r="E3" s="2" t="inlineStr">
        <is>
          <t>PerformanceData rows 5-6</t>
        </is>
      </c>
      <c r="F3" s="2" t="inlineStr">
        <is>
          <t>Use only as context; no causal inference</t>
        </is>
      </c>
    </row>
    <row r="4">
      <c r="A4" s="2" t="inlineStr">
        <is>
          <t>Mar</t>
        </is>
      </c>
      <c r="B4" s="5">
        <f>PerformanceData!D8</f>
        <v>1318000</v>
      </c>
      <c r="C4" s="5">
        <f>PerformanceData!D9</f>
        <v>812000</v>
      </c>
      <c r="D4" s="6">
        <f>IF(B4=0,0,C4/B4)</f>
        <v>0.6160849772382397</v>
      </c>
      <c r="E4" s="2" t="inlineStr">
        <is>
          <t>PerformanceData rows 8-9</t>
        </is>
      </c>
      <c r="F4" s="2" t="inlineStr">
        <is>
          <t>Use only as context; no causal inference</t>
        </is>
      </c>
    </row>
    <row r="5">
      <c r="A5" s="2" t="inlineStr">
        <is>
          <t>Apr</t>
        </is>
      </c>
      <c r="B5" s="5">
        <f>PerformanceData!D11</f>
        <v>1290000</v>
      </c>
      <c r="C5" s="5">
        <f>PerformanceData!D12</f>
        <v>801000</v>
      </c>
      <c r="D5" s="6">
        <f>IF(B5=0,0,C5/B5)</f>
        <v>0.6209302325581395</v>
      </c>
      <c r="E5" s="2" t="inlineStr">
        <is>
          <t>PerformanceData rows 11-12</t>
        </is>
      </c>
      <c r="F5" s="2" t="inlineStr">
        <is>
          <t>Use only as context; no causal inference</t>
        </is>
      </c>
    </row>
    <row r="6">
      <c r="A6" s="2" t="inlineStr">
        <is>
          <t>May</t>
        </is>
      </c>
      <c r="B6" s="5">
        <f>PerformanceData!D14</f>
        <v>1375000</v>
      </c>
      <c r="C6" s="5">
        <f>PerformanceData!D15</f>
        <v>824000</v>
      </c>
      <c r="D6" s="6">
        <f>IF(B6=0,0,C6/B6)</f>
        <v>0.5992727272727273</v>
      </c>
      <c r="E6" s="2" t="inlineStr">
        <is>
          <t>PerformanceData rows 14-15</t>
        </is>
      </c>
      <c r="F6" s="2" t="inlineStr">
        <is>
          <t>Use only as context; no causal inference</t>
        </is>
      </c>
    </row>
    <row r="7">
      <c r="A7" s="2" t="inlineStr">
        <is>
          <t>Jun</t>
        </is>
      </c>
      <c r="B7" s="5">
        <f>PerformanceData!D17</f>
        <v>1332000</v>
      </c>
      <c r="C7" s="5">
        <f>PerformanceData!D18</f>
        <v>858000</v>
      </c>
      <c r="D7" s="6">
        <f>IF(B7=0,0,C7/B7)</f>
        <v>0.6441441441441441</v>
      </c>
      <c r="E7" s="2" t="inlineStr">
        <is>
          <t>PerformanceData rows 17-18</t>
        </is>
      </c>
      <c r="F7" s="2" t="inlineStr">
        <is>
          <t>Use only as context; no causal inference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Control</t>
        </is>
      </c>
      <c r="B1" s="1" t="inlineStr">
        <is>
          <t>Delivery rule</t>
        </is>
      </c>
    </row>
    <row r="2" ht="34" customHeight="1">
      <c r="A2" s="7" t="inlineStr">
        <is>
          <t>Scenario</t>
        </is>
      </c>
      <c r="B2" s="2" t="inlineStr">
        <is>
          <t>Fictional Northstar Life training data. Not MassMutual data.</t>
        </is>
      </c>
    </row>
    <row r="3" ht="34" customHeight="1">
      <c r="A3" s="7" t="inlineStr">
        <is>
          <t>Workflow</t>
        </is>
      </c>
      <c r="B3" s="2" t="inlineStr">
        <is>
          <t>CREATE → REFINE → VERIFY CLAIMS → PREPARE TO PRESENT.</t>
        </is>
      </c>
    </row>
    <row r="4" ht="34" customHeight="1">
      <c r="A4" s="7" t="inlineStr">
        <is>
          <t>Ranking basis</t>
        </is>
      </c>
      <c r="B4" s="2" t="inlineStr">
        <is>
          <t>Rank unfavorable items by absolute dollar amount unless a different decision basis is explicitly requested.</t>
        </is>
      </c>
    </row>
    <row r="5" ht="34" customHeight="1">
      <c r="A5" s="7" t="inlineStr">
        <is>
          <t>Favorability</t>
        </is>
      </c>
      <c r="B5" s="2" t="inlineStr">
        <is>
          <t>Premium Revenue below plan is unfavorable. Paid Claims or Operating Expense above plan is unfavorable.</t>
        </is>
      </c>
    </row>
    <row r="6" ht="34" customHeight="1">
      <c r="A6" s="7" t="inlineStr">
        <is>
          <t>Cause discipline</t>
        </is>
      </c>
      <c r="B6" s="2" t="inlineStr">
        <is>
          <t>PerformanceData contains calculations and neutral quality flags, not causes. Introduce Monthly Review Notes only after the cause-free analysis.</t>
        </is>
      </c>
    </row>
    <row r="7" ht="34" customHeight="1">
      <c r="A7" s="7" t="inlineStr">
        <is>
          <t>Formula check</t>
        </is>
      </c>
      <c r="B7" s="2" t="inlineStr">
        <is>
          <t>Variance = Actual − Plan. VariancePct = Variance ÷ Plan. Recalculate the top claim independently.</t>
        </is>
      </c>
    </row>
    <row r="8" ht="34" customHeight="1">
      <c r="A8" s="7" t="inlineStr">
        <is>
          <t>Surface</t>
        </is>
      </c>
      <c r="B8" s="2" t="inlineStr">
        <is>
          <t>Use only the approved Excel/Copilot route available in the delivery tenant. Do not upload the workbook to an unapproved account.</t>
        </is>
      </c>
    </row>
    <row r="9" ht="34" customHeight="1">
      <c r="A9" s="7" t="inlineStr">
        <is>
          <t>Fallback</t>
        </is>
      </c>
      <c r="B9" s="2" t="inlineStr">
        <is>
          <t>Use the supplied fallback outputs and blank ledger if Copilot cannot access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2026-08-12T18:03:51Z</dcterms:created>
  <dcterms:modified xmlns:dcterms="http://purl.org/dc/terms/" xmlns:xsi="http://www.w3.org/2001/XMLSchema-instance" xsi:type="dcterms:W3CDTF">2026-08-12T18:03:51Z</dcterms:modified>
</cp:coreProperties>
</file>