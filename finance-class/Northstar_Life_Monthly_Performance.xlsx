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IACopilot\Training\Courses\26_09_09-copilot-mm\Development\day2\workbook_v2\"/>
    </mc:Choice>
  </mc:AlternateContent>
  <xr:revisionPtr revIDLastSave="0" documentId="13_ncr:1_{6E26946B-05EA-4906-8C59-569457EB3130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Instructions" sheetId="1" r:id="rId1"/>
    <sheet name="Dashboard" sheetId="2" r:id="rId2"/>
    <sheet name="PerformanceData" sheetId="3" r:id="rId3"/>
    <sheet name="MonthlyContext" sheetId="4" r:id="rId4"/>
    <sheet name="PremiumDetail" sheetId="5" r:id="rId5"/>
    <sheet name="ClaimsDetail" sheetId="6" r:id="rId6"/>
    <sheet name="ExpenseDetail" sheetId="7" r:id="rId7"/>
    <sheet name="Reconciliation" sheetId="8" r:id="rId8"/>
    <sheet name="ScenarioModel" sheetId="9" r:id="rId9"/>
    <sheet name="ChallengePrompts" sheetId="10" r:id="rId10"/>
    <sheet name="DataDictionary" sheetId="11" r:id="rId11"/>
  </sheets>
  <definedNames>
    <definedName name="_xlnm.Print_Area" localSheetId="1">Dashboard!$A$1:$H$34</definedName>
    <definedName name="_xlnm.Print_Titles" localSheetId="9">ChallengePrompts!$1:$1</definedName>
    <definedName name="_xlnm.Print_Titles" localSheetId="5">'ClaimsDetail'!$1:$1</definedName>
    <definedName name="_xlnm.Print_Titles" localSheetId="1">Dashboard!$4:$4</definedName>
    <definedName name="_xlnm.Print_Titles" localSheetId="10">DataDictionary!$1:$1</definedName>
    <definedName name="_xlnm.Print_Titles" localSheetId="6">ExpenseDetail!$1:$1</definedName>
    <definedName name="_xlnm.Print_Titles" localSheetId="0">Instructions!$1:$1</definedName>
    <definedName name="_xlnm.Print_Titles" localSheetId="4">PremiumDetail!$1:$1</definedName>
    <definedName name="_xlnm.Print_Titles" localSheetId="7">Reconciliation!$1:$1</definedName>
    <definedName name="_xlnm.Print_Titles" localSheetId="8">ScenarioModel!$6:$6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C4" i="9"/>
  <c r="B4" i="9"/>
  <c r="D19" i="8"/>
  <c r="C19" i="8"/>
  <c r="D18" i="8"/>
  <c r="E18" i="8" s="1"/>
  <c r="F18" i="8" s="1"/>
  <c r="C18" i="8"/>
  <c r="D17" i="8"/>
  <c r="C17" i="8"/>
  <c r="D16" i="8"/>
  <c r="E16" i="8" s="1"/>
  <c r="F16" i="8" s="1"/>
  <c r="C16" i="8"/>
  <c r="D15" i="8"/>
  <c r="C15" i="8"/>
  <c r="D14" i="8"/>
  <c r="E14" i="8" s="1"/>
  <c r="F14" i="8" s="1"/>
  <c r="C14" i="8"/>
  <c r="D13" i="8"/>
  <c r="C13" i="8"/>
  <c r="D12" i="8"/>
  <c r="E12" i="8" s="1"/>
  <c r="F12" i="8" s="1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D3" i="8"/>
  <c r="C3" i="8"/>
  <c r="D2" i="8"/>
  <c r="C2" i="8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C7" i="4"/>
  <c r="B7" i="4"/>
  <c r="D7" i="4" s="1"/>
  <c r="C6" i="4"/>
  <c r="B6" i="4"/>
  <c r="C5" i="4"/>
  <c r="B5" i="4"/>
  <c r="D5" i="4" s="1"/>
  <c r="C4" i="4"/>
  <c r="B4" i="4"/>
  <c r="D4" i="4" s="1"/>
  <c r="C3" i="4"/>
  <c r="B3" i="4"/>
  <c r="D3" i="4" s="1"/>
  <c r="C2" i="4"/>
  <c r="B2" i="4"/>
  <c r="D2" i="4" s="1"/>
  <c r="E19" i="3"/>
  <c r="G18" i="3"/>
  <c r="E18" i="3"/>
  <c r="F18" i="3" s="1"/>
  <c r="G17" i="3"/>
  <c r="E17" i="3"/>
  <c r="F17" i="3" s="1"/>
  <c r="E16" i="3"/>
  <c r="E15" i="3"/>
  <c r="E14" i="3"/>
  <c r="E13" i="3"/>
  <c r="G12" i="3"/>
  <c r="E12" i="3"/>
  <c r="F12" i="3" s="1"/>
  <c r="E11" i="3"/>
  <c r="E10" i="3"/>
  <c r="E9" i="3"/>
  <c r="E8" i="3"/>
  <c r="E7" i="3"/>
  <c r="E6" i="3"/>
  <c r="E5" i="3"/>
  <c r="E4" i="3"/>
  <c r="E3" i="3"/>
  <c r="E2" i="3"/>
  <c r="G10" i="2"/>
  <c r="F10" i="2"/>
  <c r="E10" i="2"/>
  <c r="D10" i="2"/>
  <c r="C10" i="2"/>
  <c r="B10" i="2"/>
  <c r="G9" i="2"/>
  <c r="F9" i="2"/>
  <c r="E9" i="2"/>
  <c r="D9" i="2"/>
  <c r="C9" i="2"/>
  <c r="H9" i="2" s="1"/>
  <c r="B9" i="2"/>
  <c r="G8" i="2"/>
  <c r="F8" i="2"/>
  <c r="E8" i="2"/>
  <c r="D8" i="2"/>
  <c r="C8" i="2"/>
  <c r="H8" i="2" s="1"/>
  <c r="B8" i="2"/>
  <c r="G7" i="2"/>
  <c r="F7" i="2"/>
  <c r="E7" i="2"/>
  <c r="D7" i="2"/>
  <c r="C7" i="2"/>
  <c r="H7" i="2" s="1"/>
  <c r="B7" i="2"/>
  <c r="G6" i="2"/>
  <c r="F6" i="2"/>
  <c r="E6" i="2"/>
  <c r="D6" i="2"/>
  <c r="C6" i="2"/>
  <c r="H6" i="2" s="1"/>
  <c r="B6" i="2"/>
  <c r="G5" i="2"/>
  <c r="F5" i="2"/>
  <c r="E5" i="2"/>
  <c r="D5" i="2"/>
  <c r="C5" i="2"/>
  <c r="B5" i="2"/>
  <c r="H5" i="2" l="1"/>
  <c r="G19" i="3"/>
  <c r="F19" i="3"/>
  <c r="F6" i="3"/>
  <c r="G6" i="3"/>
  <c r="H10" i="2"/>
  <c r="E10" i="8"/>
  <c r="F10" i="8" s="1"/>
  <c r="G16" i="3"/>
  <c r="F16" i="3"/>
  <c r="G5" i="3"/>
  <c r="F5" i="3"/>
  <c r="E19" i="8"/>
  <c r="F19" i="8" s="1"/>
  <c r="D6" i="4"/>
  <c r="E17" i="8"/>
  <c r="F17" i="8" s="1"/>
  <c r="E15" i="8"/>
  <c r="F15" i="8" s="1"/>
  <c r="E5" i="8"/>
  <c r="F5" i="8" s="1"/>
  <c r="E13" i="8"/>
  <c r="F13" i="8" s="1"/>
  <c r="E11" i="8"/>
  <c r="F11" i="8" s="1"/>
  <c r="E9" i="8"/>
  <c r="F9" i="8" s="1"/>
  <c r="E8" i="8"/>
  <c r="F8" i="8" s="1"/>
  <c r="E7" i="8"/>
  <c r="F7" i="8" s="1"/>
  <c r="E6" i="8"/>
  <c r="F6" i="8" s="1"/>
  <c r="E4" i="8"/>
  <c r="F4" i="8" s="1"/>
  <c r="E3" i="8"/>
  <c r="F3" i="8" s="1"/>
  <c r="E2" i="8"/>
  <c r="F2" i="8" s="1"/>
  <c r="G15" i="3"/>
  <c r="F15" i="3"/>
  <c r="G14" i="3"/>
  <c r="F14" i="3"/>
  <c r="G13" i="3"/>
  <c r="F13" i="3"/>
  <c r="G11" i="3"/>
  <c r="F11" i="3"/>
  <c r="G10" i="3"/>
  <c r="F10" i="3"/>
  <c r="G8" i="3"/>
  <c r="F8" i="3"/>
  <c r="G7" i="3"/>
  <c r="F7" i="3"/>
  <c r="G4" i="3"/>
  <c r="F4" i="3"/>
  <c r="G2" i="3"/>
  <c r="F2" i="3"/>
  <c r="G9" i="9"/>
  <c r="G8" i="9"/>
  <c r="G7" i="9"/>
  <c r="F9" i="9"/>
  <c r="F8" i="9"/>
  <c r="F7" i="9"/>
  <c r="E9" i="9"/>
  <c r="E7" i="9"/>
  <c r="E8" i="9"/>
  <c r="F9" i="3"/>
  <c r="G9" i="3"/>
  <c r="G3" i="3"/>
  <c r="F3" i="3"/>
  <c r="H9" i="9" l="1"/>
  <c r="I9" i="9"/>
  <c r="H7" i="9"/>
  <c r="I7" i="9"/>
  <c r="H8" i="9"/>
  <c r="I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AIA Copilot</author>
  </authors>
  <commentList>
    <comment ref="B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C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D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B8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C8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D8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B9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C9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  <comment ref="D9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Editable scenario assumption. Use a decimal such as 0.05 for 5%.</t>
        </r>
      </text>
    </comment>
  </commentList>
</comments>
</file>

<file path=xl/sharedStrings.xml><?xml version="1.0" encoding="utf-8"?>
<sst xmlns="http://schemas.openxmlformats.org/spreadsheetml/2006/main" count="813" uniqueCount="288">
  <si>
    <t>Control</t>
  </si>
  <si>
    <t>Delivery rule</t>
  </si>
  <si>
    <t>Scenario</t>
  </si>
  <si>
    <t>Fictional Northstar Life training data. Not MassMutual data.</t>
  </si>
  <si>
    <t>Workflow</t>
  </si>
  <si>
    <t>CREATE → REFINE → VERIFY CLAIMS → PREPARE TO PRESENT.</t>
  </si>
  <si>
    <t>Ranking basis</t>
  </si>
  <si>
    <t>Rank unfavorable items by absolute dollar amount unless a different decision basis is explicitly requested.</t>
  </si>
  <si>
    <t>Favorability</t>
  </si>
  <si>
    <t>Premium Revenue below plan is unfavorable. Paid Claims or Operating Expense above plan is unfavorable.</t>
  </si>
  <si>
    <t>Cause discipline</t>
  </si>
  <si>
    <t>PerformanceData contains calculations and neutral quality flags, not causes. Introduce Monthly Review Notes only after the cause-free analysis.</t>
  </si>
  <si>
    <t>Formula check</t>
  </si>
  <si>
    <t>Variance = Actual − Plan. VariancePct = Variance ÷ Plan. Recalculate the top claim independently.</t>
  </si>
  <si>
    <t>Surface</t>
  </si>
  <si>
    <t>Use only the approved Excel/Copilot route available in the delivery tenant. Do not upload the workbook to an unapproved account.</t>
  </si>
  <si>
    <t>Fallback</t>
  </si>
  <si>
    <t>Use the supplied fallback outputs and blank ledger if Copilot cannot access the workbook.</t>
  </si>
  <si>
    <t>Advanced detail</t>
  </si>
  <si>
    <t>PremiumDetail, ClaimsDetail, and ExpenseDetail are synthetic supporting schedules. Reconcile them before using them for drilldown.</t>
  </si>
  <si>
    <t>Scenario model</t>
  </si>
  <si>
    <t>ScenarioModel is an illustrative what-if tool, not a forecast. State every edited assumption.</t>
  </si>
  <si>
    <t>Challenge prompts</t>
  </si>
  <si>
    <t>Use ChallengePrompts for optional deeper work after the core Finance Review Pack is complete.</t>
  </si>
  <si>
    <t>Northstar Life Monthly Performance Dashboard</t>
  </si>
  <si>
    <t>Synthetic training data. Use the dashboard to orient, then verify every claim against the underlying tables.</t>
  </si>
  <si>
    <t>Month</t>
  </si>
  <si>
    <t>Premium Plan</t>
  </si>
  <si>
    <t>Premium Actual</t>
  </si>
  <si>
    <t>Claims Plan</t>
  </si>
  <si>
    <t>Claims Actual</t>
  </si>
  <si>
    <t>Expense Plan</t>
  </si>
  <si>
    <t>Expense Actual</t>
  </si>
  <si>
    <t>Loss Ratio</t>
  </si>
  <si>
    <t>Jan</t>
  </si>
  <si>
    <t>Feb</t>
  </si>
  <si>
    <t>Mar</t>
  </si>
  <si>
    <t>Apr</t>
  </si>
  <si>
    <t>May</t>
  </si>
  <si>
    <t>Jun</t>
  </si>
  <si>
    <t>Category</t>
  </si>
  <si>
    <t>Plan</t>
  </si>
  <si>
    <t>Actual</t>
  </si>
  <si>
    <t>Variance</t>
  </si>
  <si>
    <t>VariancePct</t>
  </si>
  <si>
    <t>Owner</t>
  </si>
  <si>
    <t>DataQualityFlag</t>
  </si>
  <si>
    <t>Premium Revenue</t>
  </si>
  <si>
    <t>Revenue Finance</t>
  </si>
  <si>
    <t>Supporting channel detail available; causal explanation not included</t>
  </si>
  <si>
    <t>Paid Claims</t>
  </si>
  <si>
    <t>Claims Finance</t>
  </si>
  <si>
    <t>Supporting claim detail available; causal explanation not included</t>
  </si>
  <si>
    <t>Operating Expense</t>
  </si>
  <si>
    <t>FP&amp;A</t>
  </si>
  <si>
    <t>Supporting cost-center detail available; causal explanation not included</t>
  </si>
  <si>
    <t>Actual Premium Revenue</t>
  </si>
  <si>
    <t>Actual Paid Claims</t>
  </si>
  <si>
    <t>LossRatio</t>
  </si>
  <si>
    <t>Source Rows</t>
  </si>
  <si>
    <t>Review Flag</t>
  </si>
  <si>
    <t>PerformanceData rows 2-3</t>
  </si>
  <si>
    <t>Use only as context; no causal inference</t>
  </si>
  <si>
    <t>PerformanceData rows 5-6</t>
  </si>
  <si>
    <t>PerformanceData rows 8-9</t>
  </si>
  <si>
    <t>PerformanceData rows 11-12</t>
  </si>
  <si>
    <t>PerformanceData rows 14-15</t>
  </si>
  <si>
    <t>PerformanceData rows 17-18</t>
  </si>
  <si>
    <t>RecordID</t>
  </si>
  <si>
    <t>Product</t>
  </si>
  <si>
    <t>Channel</t>
  </si>
  <si>
    <t>Region</t>
  </si>
  <si>
    <t>PlanPremium</t>
  </si>
  <si>
    <t>ActualPremium</t>
  </si>
  <si>
    <t>QualityFlag</t>
  </si>
  <si>
    <t>PR-01-01</t>
  </si>
  <si>
    <t>Term Life</t>
  </si>
  <si>
    <t>Direct</t>
  </si>
  <si>
    <t>East</t>
  </si>
  <si>
    <t>None</t>
  </si>
  <si>
    <t>PR-01-02</t>
  </si>
  <si>
    <t>Whole Life</t>
  </si>
  <si>
    <t>Advisor</t>
  </si>
  <si>
    <t>PR-01-03</t>
  </si>
  <si>
    <t>Annuity</t>
  </si>
  <si>
    <t>Central</t>
  </si>
  <si>
    <t>PR-01-04</t>
  </si>
  <si>
    <t>Group Benefits</t>
  </si>
  <si>
    <t>Employer</t>
  </si>
  <si>
    <t>West</t>
  </si>
  <si>
    <t>PR-02-01</t>
  </si>
  <si>
    <t>Channel detail not included in summary file</t>
  </si>
  <si>
    <t>PR-02-02</t>
  </si>
  <si>
    <t>PR-02-03</t>
  </si>
  <si>
    <t>PR-02-04</t>
  </si>
  <si>
    <t>PR-03-01</t>
  </si>
  <si>
    <t>PR-03-02</t>
  </si>
  <si>
    <t>PR-03-03</t>
  </si>
  <si>
    <t>PR-03-04</t>
  </si>
  <si>
    <t>PR-04-01</t>
  </si>
  <si>
    <t>PR-04-02</t>
  </si>
  <si>
    <t>PR-04-03</t>
  </si>
  <si>
    <t>PR-04-04</t>
  </si>
  <si>
    <t>PR-05-01</t>
  </si>
  <si>
    <t>PR-05-02</t>
  </si>
  <si>
    <t>PR-05-03</t>
  </si>
  <si>
    <t>PR-05-04</t>
  </si>
  <si>
    <t>PR-06-01</t>
  </si>
  <si>
    <t>PR-06-02</t>
  </si>
  <si>
    <t>PR-06-03</t>
  </si>
  <si>
    <t>PR-06-04</t>
  </si>
  <si>
    <t>ClaimType</t>
  </si>
  <si>
    <t>ClaimCount</t>
  </si>
  <si>
    <t>PaidAmount</t>
  </si>
  <si>
    <t>ReserveChange</t>
  </si>
  <si>
    <t>IncurredAmount</t>
  </si>
  <si>
    <t>CL-01-01</t>
  </si>
  <si>
    <t>Mortality</t>
  </si>
  <si>
    <t>Supporting claim-detail schedule intentionally summarized</t>
  </si>
  <si>
    <t>CL-01-02</t>
  </si>
  <si>
    <t>CL-01-03</t>
  </si>
  <si>
    <t>Disability</t>
  </si>
  <si>
    <t>CL-01-04</t>
  </si>
  <si>
    <t>Annuity Benefit</t>
  </si>
  <si>
    <t>CL-02-01</t>
  </si>
  <si>
    <t>CL-02-02</t>
  </si>
  <si>
    <t>CL-02-03</t>
  </si>
  <si>
    <t>CL-02-04</t>
  </si>
  <si>
    <t>CL-03-01</t>
  </si>
  <si>
    <t>CL-03-02</t>
  </si>
  <si>
    <t>CL-03-03</t>
  </si>
  <si>
    <t>CL-03-04</t>
  </si>
  <si>
    <t>CL-04-01</t>
  </si>
  <si>
    <t>CL-04-02</t>
  </si>
  <si>
    <t>CL-04-03</t>
  </si>
  <si>
    <t>CL-04-04</t>
  </si>
  <si>
    <t>CL-05-01</t>
  </si>
  <si>
    <t>CL-05-02</t>
  </si>
  <si>
    <t>CL-05-03</t>
  </si>
  <si>
    <t>CL-05-04</t>
  </si>
  <si>
    <t>CL-06-01</t>
  </si>
  <si>
    <t>CL-06-02</t>
  </si>
  <si>
    <t>CL-06-03</t>
  </si>
  <si>
    <t>CL-06-04</t>
  </si>
  <si>
    <t>CostCenter</t>
  </si>
  <si>
    <t>ExpenseType</t>
  </si>
  <si>
    <t>PlanExpense</t>
  </si>
  <si>
    <t>ActualExpense</t>
  </si>
  <si>
    <t>EX-01-01</t>
  </si>
  <si>
    <t>Operations</t>
  </si>
  <si>
    <t>People</t>
  </si>
  <si>
    <t>EX-01-02</t>
  </si>
  <si>
    <t>Technology</t>
  </si>
  <si>
    <t>Platform</t>
  </si>
  <si>
    <t>National</t>
  </si>
  <si>
    <t>EX-01-03</t>
  </si>
  <si>
    <t>Distribution</t>
  </si>
  <si>
    <t>Variable</t>
  </si>
  <si>
    <t>EX-01-04</t>
  </si>
  <si>
    <t>Compliance</t>
  </si>
  <si>
    <t>Professional Services</t>
  </si>
  <si>
    <t>EX-02-01</t>
  </si>
  <si>
    <t>EX-02-02</t>
  </si>
  <si>
    <t>EX-02-03</t>
  </si>
  <si>
    <t>EX-02-04</t>
  </si>
  <si>
    <t>EX-03-01</t>
  </si>
  <si>
    <t>EX-03-02</t>
  </si>
  <si>
    <t>Final allocation review pending</t>
  </si>
  <si>
    <t>EX-03-03</t>
  </si>
  <si>
    <t>EX-03-04</t>
  </si>
  <si>
    <t>EX-04-01</t>
  </si>
  <si>
    <t>EX-04-02</t>
  </si>
  <si>
    <t>EX-04-03</t>
  </si>
  <si>
    <t>EX-04-04</t>
  </si>
  <si>
    <t>EX-05-01</t>
  </si>
  <si>
    <t>EX-05-02</t>
  </si>
  <si>
    <t>EX-05-03</t>
  </si>
  <si>
    <t>EX-05-04</t>
  </si>
  <si>
    <t>EX-06-01</t>
  </si>
  <si>
    <t>EX-06-02</t>
  </si>
  <si>
    <t>EX-06-03</t>
  </si>
  <si>
    <t>EX-06-04</t>
  </si>
  <si>
    <t>SummaryActual</t>
  </si>
  <si>
    <t>DetailTotal</t>
  </si>
  <si>
    <t>Difference</t>
  </si>
  <si>
    <t>Status</t>
  </si>
  <si>
    <t>ControlPurpose</t>
  </si>
  <si>
    <t>Prove detail schedules reconcile to the summary before analysis</t>
  </si>
  <si>
    <t>Northstar Life Scenario Model</t>
  </si>
  <si>
    <t>Illustrative what-if model only. It is not a forecast and contains no causal assumptions. Edit only the blue assumption cells.</t>
  </si>
  <si>
    <t>Premium</t>
  </si>
  <si>
    <t>June baseline</t>
  </si>
  <si>
    <t>Premium change</t>
  </si>
  <si>
    <t>Claims change</t>
  </si>
  <si>
    <t>Expense change</t>
  </si>
  <si>
    <t>Projected premium</t>
  </si>
  <si>
    <t>Projected claims</t>
  </si>
  <si>
    <t>Projected expense</t>
  </si>
  <si>
    <t>Loss ratio</t>
  </si>
  <si>
    <t>Operating margin proxy</t>
  </si>
  <si>
    <t>Control note</t>
  </si>
  <si>
    <t>Base</t>
  </si>
  <si>
    <t>State the assumptions and do not present this as a forecast</t>
  </si>
  <si>
    <t>Upside</t>
  </si>
  <si>
    <t>Stress</t>
  </si>
  <si>
    <t>Stage</t>
  </si>
  <si>
    <t>Copy-safe challenge prompt</t>
  </si>
  <si>
    <t>Evidence to inspect</t>
  </si>
  <si>
    <t>ORIENT</t>
  </si>
  <si>
    <t>Describe each worksheet, its purpose, and how the tables relate. Do not make business conclusions yet.</t>
  </si>
  <si>
    <t>Named sheets, tables, and relationships</t>
  </si>
  <si>
    <t>RECONCILE</t>
  </si>
  <si>
    <t>Reconcile PremiumDetail, ClaimsDetail, and ExpenseDetail to PerformanceData by month. Return only differences and the exact rows or formulas used.</t>
  </si>
  <si>
    <t>All 18 controls should return zero difference and PASS</t>
  </si>
  <si>
    <t>ANALYZE</t>
  </si>
  <si>
    <t>Rank the five largest unfavorable variances in PerformanceData by absolute dollars. Then identify which detail records contribute most. Separate observations from hypotheses.</t>
  </si>
  <si>
    <t>Dollar ranking, detail records, no invented cause</t>
  </si>
  <si>
    <t>CHALLENGE</t>
  </si>
  <si>
    <t>For every explanation you propose, label it Supported, Hypothesis, or Blocked. Name the evidence that would raise or lower confidence.</t>
  </si>
  <si>
    <t>Explicit evidence status and missing-source list</t>
  </si>
  <si>
    <t>MODEL</t>
  </si>
  <si>
    <t>Compare Base, Upside, and Stress in ScenarioModel. Explain how each assumption changes loss ratio and the operating margin proxy. Do not call the scenarios forecasts.</t>
  </si>
  <si>
    <t>Assumption-to-output trace</t>
  </si>
  <si>
    <t>PRESENT</t>
  </si>
  <si>
    <t>Draft a one-page management brief using only reconciled and supported claims. Include three findings, risks, open questions, decisions, and owners.</t>
  </si>
  <si>
    <t>Concise management brief with claim boundaries</t>
  </si>
  <si>
    <t>Sheet</t>
  </si>
  <si>
    <t>Field</t>
  </si>
  <si>
    <t>Meaning</t>
  </si>
  <si>
    <t>Verification note</t>
  </si>
  <si>
    <t>PerformanceData</t>
  </si>
  <si>
    <t>Reporting month, January through June</t>
  </si>
  <si>
    <t>Confirm the requested period</t>
  </si>
  <si>
    <t>Premium Revenue, Paid Claims, or Operating Expense</t>
  </si>
  <si>
    <t>Favorability logic differs by category</t>
  </si>
  <si>
    <t>Approved synthetic monthly plan</t>
  </si>
  <si>
    <t>Compare on the same basis as Actual</t>
  </si>
  <si>
    <t>Synthetic recorded monthly result</t>
  </si>
  <si>
    <t>Trace to the corresponding detail schedule</t>
  </si>
  <si>
    <t>Actual minus Plan</t>
  </si>
  <si>
    <t>Recalculate the largest claim</t>
  </si>
  <si>
    <t>Variance divided by Plan</t>
  </si>
  <si>
    <t>Do not mix percentage and dollar rankings</t>
  </si>
  <si>
    <t>Category-aware direction of the variance</t>
  </si>
  <si>
    <t>Revenue below plan is unfavorable; costs above plan are unfavorable</t>
  </si>
  <si>
    <t>Synthetic finance function responsible for follow-up</t>
  </si>
  <si>
    <t>An owner does not prove approval</t>
  </si>
  <si>
    <t>Known evidence limitation</t>
  </si>
  <si>
    <t>Keep the limitation visible in the brief</t>
  </si>
  <si>
    <t>PremiumDetail</t>
  </si>
  <si>
    <t>Synthetic product grouping</t>
  </si>
  <si>
    <t>Use for drilldown, not causal inference</t>
  </si>
  <si>
    <t>Synthetic distribution channel</t>
  </si>
  <si>
    <t>A mix shift is an observation until supported</t>
  </si>
  <si>
    <t>Premium detail amount</t>
  </si>
  <si>
    <t>Monthly totals must reconcile to summary revenue</t>
  </si>
  <si>
    <t>ClaimsDetail</t>
  </si>
  <si>
    <t>Synthetic claim grouping</t>
  </si>
  <si>
    <t>Do not infer operational cause</t>
  </si>
  <si>
    <t>Illustrative count of paid claims</t>
  </si>
  <si>
    <t>Count and severity can move independently</t>
  </si>
  <si>
    <t>Synthetic paid amount</t>
  </si>
  <si>
    <t>Monthly totals must reconcile to summary claims</t>
  </si>
  <si>
    <t>Illustrative reserve movement</t>
  </si>
  <si>
    <t>Not included in Paid Claims summary</t>
  </si>
  <si>
    <t>Paid amount plus reserve change</t>
  </si>
  <si>
    <t>Do not compare directly with Paid Claims without naming the basis</t>
  </si>
  <si>
    <t>ExpenseDetail</t>
  </si>
  <si>
    <t>Synthetic expense ownership grouping</t>
  </si>
  <si>
    <t>Use to locate, not explain, variance</t>
  </si>
  <si>
    <t>Synthetic recorded expense</t>
  </si>
  <si>
    <t>Monthly totals must reconcile to summary expense</t>
  </si>
  <si>
    <t>Reconciliation</t>
  </si>
  <si>
    <t>Detail total minus summary actual</t>
  </si>
  <si>
    <t>Must equal zero before analysis</t>
  </si>
  <si>
    <t>PASS when the difference is effectively zero</t>
  </si>
  <si>
    <t>A PASS proves arithmetic consistency, not business truth</t>
  </si>
  <si>
    <t>ScenarioModel</t>
  </si>
  <si>
    <t>Assumption cells</t>
  </si>
  <si>
    <t>Editable percentage changes</t>
  </si>
  <si>
    <t>State assumptions explicitly</t>
  </si>
  <si>
    <t>Projected paid claims divided by projected premium</t>
  </si>
  <si>
    <t>Scenario output, not forecast</t>
  </si>
  <si>
    <t>Projected premium minus projected claims and expense</t>
  </si>
  <si>
    <t>Simplified teaching metric, not GAAP net income</t>
  </si>
  <si>
    <t>MonthlyContext</t>
  </si>
  <si>
    <t>Actual Paid Claims divided by Actual Premium Revenue</t>
  </si>
  <si>
    <t>Context only; no causal inference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</si>
</sst>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[Red]\-\$#,##0"/>
    <numFmt numFmtId="165" formatCode="0.0%;[Red]\-0.0%"/>
    <numFmt numFmtId="166" formatCode="\$#,##0"/>
    <numFmt numFmtId="167" formatCode="0.0%"/>
    <numFmt numFmtId="168" formatCode="\$#,##0.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6324F"/>
      <name val="Calibri"/>
    </font>
    <font>
      <b/>
      <sz val="18"/>
      <color rgb="FFFFFFFF"/>
      <name val="Calibri"/>
    </font>
    <font>
      <b/>
      <sz val="11"/>
      <color rgb="FF17324D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17324D"/>
      </patternFill>
    </fill>
    <fill>
      <patternFill patternType="solid">
        <fgColor rgb="FFDDF2F0"/>
      </patternFill>
    </fill>
    <fill>
      <patternFill patternType="solid">
        <fgColor rgb="FFFFF4CE"/>
      </patternFill>
    </fill>
    <fill>
      <patternFill patternType="solid">
        <fgColor rgb="FFDCEA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2368A2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166" fontId="0" fillId="0" borderId="0" xfId="0" applyNumberFormat="1" applyAlignment="1">
      <alignment vertical="top" wrapText="1"/>
    </xf>
    <xf numFmtId="167" fontId="0" fillId="0" borderId="0" xfId="0" applyNumberFormat="1" applyAlignment="1">
      <alignment vertical="top" wrapText="1"/>
    </xf>
    <xf numFmtId="0" fontId="1" fillId="3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66" fontId="0" fillId="0" borderId="2" xfId="0" applyNumberFormat="1" applyBorder="1" applyAlignment="1">
      <alignment vertical="top" wrapText="1"/>
    </xf>
    <xf numFmtId="167" fontId="0" fillId="0" borderId="2" xfId="0" applyNumberFormat="1" applyBorder="1" applyAlignment="1">
      <alignment vertical="top" wrapText="1"/>
    </xf>
    <xf numFmtId="168" fontId="0" fillId="0" borderId="2" xfId="0" applyNumberFormat="1" applyBorder="1" applyAlignment="1">
      <alignment vertical="top" wrapText="1"/>
    </xf>
    <xf numFmtId="0" fontId="4" fillId="0" borderId="0" xfId="0" applyFont="1"/>
    <xf numFmtId="166" fontId="0" fillId="0" borderId="0" xfId="0" applyNumberFormat="1"/>
    <xf numFmtId="167" fontId="0" fillId="6" borderId="2" xfId="0" applyNumberFormat="1" applyFill="1" applyBorder="1" applyAlignment="1" applyProtection="1">
      <alignment vertical="top" wrapText="1"/>
      <protection locked="0"/>
    </xf>
    <xf numFmtId="0" fontId="0" fillId="4" borderId="0" xfId="0" applyFill="1" applyAlignment="1">
      <alignment wrapText="1"/>
    </xf>
    <xf numFmtId="0" fontId="0" fillId="0" borderId="0" xfId="0"/>
    <xf numFmtId="0" fontId="3" fillId="3" borderId="0" xfId="0" applyFont="1" applyFill="1"/>
    <xf numFmtId="0" fontId="0" fillId="5" borderId="0" xfId="0" applyFill="1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CE8E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Premium: Plan vs Actual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Dashboard!$B$4</c:f>
              <c:strCache>
                <c:ptCount val="1"/>
                <c:pt idx="0">
                  <c:v>Premium Plan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Dashboard!$A$5:$A$10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Dashboard!$B$5:$B$10</c:f>
              <c:numCache>
                <c:formatCode>\$#,##0</c:formatCode>
                <c:ptCount val="6"/>
                <c:pt idx="0">
                  <c:v>1250000</c:v>
                </c:pt>
                <c:pt idx="1">
                  <c:v>1275000</c:v>
                </c:pt>
                <c:pt idx="2">
                  <c:v>1300000</c:v>
                </c:pt>
                <c:pt idx="3">
                  <c:v>1325000</c:v>
                </c:pt>
                <c:pt idx="4">
                  <c:v>1350000</c:v>
                </c:pt>
                <c:pt idx="5">
                  <c:v>1375000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83-4CF8-AABB-E23DBAEBEAF0}"/>
            </c:ext>
          </c:extLst>
        </c:ser>
        <c:ser>
          <c:idx val="1"/>
          <c:order val="1"/>
          <c:tx>
            <c:strRef>
              <c:f>Dashboard!$C$4</c:f>
              <c:strCache>
                <c:ptCount val="1"/>
                <c:pt idx="0">
                  <c:v>Premium Actual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Dashboard!$A$5:$A$10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Dashboard!$C$5:$C$10</c:f>
              <c:numCache>
                <c:formatCode>\$#,##0</c:formatCode>
                <c:ptCount val="6"/>
                <c:pt idx="0">
                  <c:v>1285000</c:v>
                </c:pt>
                <c:pt idx="1">
                  <c:v>1260000</c:v>
                </c:pt>
                <c:pt idx="2">
                  <c:v>1318000</c:v>
                </c:pt>
                <c:pt idx="3">
                  <c:v>1290000</c:v>
                </c:pt>
                <c:pt idx="4">
                  <c:v>1375000</c:v>
                </c:pt>
                <c:pt idx="5">
                  <c:v>1332000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A83-4CF8-AABB-E23DBAEBE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Dollars</a:t>
                </a:r>
              </a:p>
            </c:rich>
          </c:tx>
          <c:overlay val="1"/>
        </c:title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Paid Claims: Plan vs Actual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Dashboard!$D$4</c:f>
              <c:strCache>
                <c:ptCount val="1"/>
                <c:pt idx="0">
                  <c:v>Claims Plan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Dashboard!$A$5:$A$10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Dashboard!$D$5:$D$10</c:f>
              <c:numCache>
                <c:formatCode>\$#,##0</c:formatCode>
                <c:ptCount val="6"/>
                <c:pt idx="0">
                  <c:v>720000</c:v>
                </c:pt>
                <c:pt idx="1">
                  <c:v>735000</c:v>
                </c:pt>
                <c:pt idx="2">
                  <c:v>750000</c:v>
                </c:pt>
                <c:pt idx="3">
                  <c:v>760000</c:v>
                </c:pt>
                <c:pt idx="4">
                  <c:v>775000</c:v>
                </c:pt>
                <c:pt idx="5">
                  <c:v>790000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E4-4980-BE74-40FD28D15FCF}"/>
            </c:ext>
          </c:extLst>
        </c:ser>
        <c:ser>
          <c:idx val="1"/>
          <c:order val="1"/>
          <c:tx>
            <c:strRef>
              <c:f>Dashboard!$E$4</c:f>
              <c:strCache>
                <c:ptCount val="1"/>
                <c:pt idx="0">
                  <c:v>Claims Actual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Dashboard!$A$5:$A$10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Dashboard!$E$5:$E$10</c:f>
              <c:numCache>
                <c:formatCode>\$#,##0</c:formatCode>
                <c:ptCount val="6"/>
                <c:pt idx="0">
                  <c:v>755000</c:v>
                </c:pt>
                <c:pt idx="1">
                  <c:v>790000</c:v>
                </c:pt>
                <c:pt idx="2">
                  <c:v>812000</c:v>
                </c:pt>
                <c:pt idx="3">
                  <c:v>801000</c:v>
                </c:pt>
                <c:pt idx="4">
                  <c:v>824000</c:v>
                </c:pt>
                <c:pt idx="5">
                  <c:v>858000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E4-4980-BE74-40FD28D1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Dollars</a:t>
                </a:r>
              </a:p>
            </c:rich>
          </c:tx>
          <c:overlay val="1"/>
        </c:title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3600000" cy="16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3600000" cy="16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formanceData" displayName="PerformanceData" ref="A1:I19">
  <autoFilter ref="A1:I19" xr:uid="{00000000-0009-0000-0100-000001000000}"/>
  <tableColumns count="9">
    <tableColumn id="1" xr3:uid="{00000000-0010-0000-0000-000001000000}" name="Month"/>
    <tableColumn id="2" xr3:uid="{00000000-0010-0000-0000-000002000000}" name="Category"/>
    <tableColumn id="3" xr3:uid="{00000000-0010-0000-0000-000003000000}" name="Plan"/>
    <tableColumn id="4" xr3:uid="{00000000-0010-0000-0000-000004000000}" name="Actual"/>
    <tableColumn id="5" xr3:uid="{00000000-0010-0000-0000-000005000000}" name="Variance"/>
    <tableColumn id="6" xr3:uid="{00000000-0010-0000-0000-000006000000}" name="VariancePct"/>
    <tableColumn id="7" xr3:uid="{00000000-0010-0000-0000-000007000000}" name="Favorability"/>
    <tableColumn id="8" xr3:uid="{00000000-0010-0000-0000-000008000000}" name="Owner"/>
    <tableColumn id="9" xr3:uid="{00000000-0010-0000-0000-000009000000}" name="DataQuality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nthlyContext" displayName="MonthlyContext" ref="A1:F7">
  <autoFilter ref="A1:F7" xr:uid="{00000000-0009-0000-0100-000002000000}"/>
  <tableColumns count="6">
    <tableColumn id="1" xr3:uid="{00000000-0010-0000-0100-000001000000}" name="Month"/>
    <tableColumn id="2" xr3:uid="{00000000-0010-0000-0100-000002000000}" name="Actual Premium Revenue"/>
    <tableColumn id="3" xr3:uid="{00000000-0010-0000-0100-000003000000}" name="Actual Paid Claims"/>
    <tableColumn id="4" xr3:uid="{00000000-0010-0000-0100-000004000000}" name="LossRatio"/>
    <tableColumn id="5" xr3:uid="{00000000-0010-0000-0100-000005000000}" name="Source Rows"/>
    <tableColumn id="6" xr3:uid="{00000000-0010-0000-0100-000006000000}" name="Review Flag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miumDetail" displayName="PremiumDetail" ref="A1:I25">
  <autoFilter ref="A1:I25" xr:uid="{00000000-0009-0000-0100-000003000000}"/>
  <tableColumns count="9">
    <tableColumn id="1" xr3:uid="{00000000-0010-0000-0200-000001000000}" name="RecordID"/>
    <tableColumn id="2" xr3:uid="{00000000-0010-0000-0200-000002000000}" name="Month"/>
    <tableColumn id="3" xr3:uid="{00000000-0010-0000-0200-000003000000}" name="Product"/>
    <tableColumn id="4" xr3:uid="{00000000-0010-0000-0200-000004000000}" name="Channel"/>
    <tableColumn id="5" xr3:uid="{00000000-0010-0000-0200-000005000000}" name="Region"/>
    <tableColumn id="6" xr3:uid="{00000000-0010-0000-0200-000006000000}" name="PlanPremium"/>
    <tableColumn id="7" xr3:uid="{00000000-0010-0000-0200-000007000000}" name="ActualPremium"/>
    <tableColumn id="8" xr3:uid="{00000000-0010-0000-0200-000008000000}" name="Variance"/>
    <tableColumn id="9" xr3:uid="{00000000-0010-0000-0200-000009000000}" name="QualityFl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laimsDetail" displayName="ClaimsDetail" ref="A1:J25">
  <autoFilter ref="A1:J25" xr:uid="{00000000-0009-0000-0100-000004000000}"/>
  <tableColumns count="10">
    <tableColumn id="1" xr3:uid="{00000000-0010-0000-0300-000001000000}" name="RecordID"/>
    <tableColumn id="2" xr3:uid="{00000000-0010-0000-0300-000002000000}" name="Month"/>
    <tableColumn id="3" xr3:uid="{00000000-0010-0000-0300-000003000000}" name="ClaimType"/>
    <tableColumn id="4" xr3:uid="{00000000-0010-0000-0300-000004000000}" name="Product"/>
    <tableColumn id="5" xr3:uid="{00000000-0010-0000-0300-000005000000}" name="Region"/>
    <tableColumn id="6" xr3:uid="{00000000-0010-0000-0300-000006000000}" name="ClaimCount"/>
    <tableColumn id="7" xr3:uid="{00000000-0010-0000-0300-000007000000}" name="PaidAmount"/>
    <tableColumn id="8" xr3:uid="{00000000-0010-0000-0300-000008000000}" name="ReserveChange"/>
    <tableColumn id="9" xr3:uid="{00000000-0010-0000-0300-000009000000}" name="IncurredAmount"/>
    <tableColumn id="10" xr3:uid="{00000000-0010-0000-0300-00000A000000}" name="Quality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xpenseDetail" displayName="ExpenseDetail" ref="A1:I25">
  <autoFilter ref="A1:I25" xr:uid="{00000000-0009-0000-0100-000005000000}"/>
  <tableColumns count="9">
    <tableColumn id="1" xr3:uid="{00000000-0010-0000-0400-000001000000}" name="RecordID"/>
    <tableColumn id="2" xr3:uid="{00000000-0010-0000-0400-000002000000}" name="Month"/>
    <tableColumn id="3" xr3:uid="{00000000-0010-0000-0400-000003000000}" name="CostCenter"/>
    <tableColumn id="4" xr3:uid="{00000000-0010-0000-0400-000004000000}" name="ExpenseType"/>
    <tableColumn id="5" xr3:uid="{00000000-0010-0000-0400-000005000000}" name="Region"/>
    <tableColumn id="6" xr3:uid="{00000000-0010-0000-0400-000006000000}" name="PlanExpense"/>
    <tableColumn id="7" xr3:uid="{00000000-0010-0000-0400-000007000000}" name="ActualExpense"/>
    <tableColumn id="8" xr3:uid="{00000000-0010-0000-0400-000008000000}" name="Variance"/>
    <tableColumn id="9" xr3:uid="{00000000-0010-0000-0400-000009000000}" name="QualityFla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conciliationTable" displayName="ReconciliationTable" ref="A1:G19">
  <autoFilter ref="A1:G19" xr:uid="{00000000-0009-0000-0100-000006000000}"/>
  <tableColumns count="7">
    <tableColumn id="1" xr3:uid="{00000000-0010-0000-0500-000001000000}" name="Month"/>
    <tableColumn id="2" xr3:uid="{00000000-0010-0000-0500-000002000000}" name="Category"/>
    <tableColumn id="3" xr3:uid="{00000000-0010-0000-0500-000003000000}" name="SummaryActual"/>
    <tableColumn id="4" xr3:uid="{00000000-0010-0000-0500-000004000000}" name="DetailTotal"/>
    <tableColumn id="5" xr3:uid="{00000000-0010-0000-0500-000005000000}" name="Difference"/>
    <tableColumn id="6" xr3:uid="{00000000-0010-0000-0500-000006000000}" name="Status"/>
    <tableColumn id="7" xr3:uid="{00000000-0010-0000-0500-000007000000}" name="ControlPurpo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llengePromptsTable" displayName="ChallengePromptsTable" ref="A1:C7">
  <autoFilter ref="A1:C7" xr:uid="{00000000-0009-0000-0100-000007000000}"/>
  <tableColumns count="3">
    <tableColumn id="1" xr3:uid="{00000000-0010-0000-0600-000001000000}" name="Stage"/>
    <tableColumn id="2" xr3:uid="{00000000-0010-0000-0600-000002000000}" name="Copy-safe challenge prompt"/>
    <tableColumn id="3" xr3:uid="{00000000-0010-0000-0600-000003000000}" name="Evidence to insp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ataDictionaryTable" displayName="DataDictionaryTable" ref="A1:D26">
  <autoFilter ref="A1:D26" xr:uid="{00000000-0009-0000-0100-000008000000}"/>
  <tableColumns count="4">
    <tableColumn id="1" xr3:uid="{00000000-0010-0000-0700-000001000000}" name="Sheet"/>
    <tableColumn id="2" xr3:uid="{00000000-0010-0000-0700-000002000000}" name="Field"/>
    <tableColumn id="3" xr3:uid="{00000000-0010-0000-0700-000003000000}" name="Meaning"/>
    <tableColumn id="4" xr3:uid="{00000000-0010-0000-0700-000004000000}" name="Verification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12"/>
  <sheetViews>
    <sheetView showGridLines="0"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05" customWidth="1"/>
  </cols>
  <sheetData>
    <row r="1" spans="1:2" ht="30" customHeight="1" x14ac:dyDescent="0.3">
      <c r="A1" s="7" t="s">
        <v>0</v>
      </c>
      <c r="B1" s="7" t="s">
        <v>1</v>
      </c>
    </row>
    <row r="2" spans="1:2" ht="42" customHeight="1" x14ac:dyDescent="0.3">
      <c r="A2" s="8" t="s">
        <v>2</v>
      </c>
      <c r="B2" s="9" t="s">
        <v>3</v>
      </c>
    </row>
    <row r="3" spans="1:2" ht="42" customHeight="1" x14ac:dyDescent="0.3">
      <c r="A3" s="8" t="s">
        <v>4</v>
      </c>
      <c r="B3" s="9" t="s">
        <v>5</v>
      </c>
    </row>
    <row r="4" spans="1:2" ht="42" customHeight="1" x14ac:dyDescent="0.3">
      <c r="A4" s="8" t="s">
        <v>6</v>
      </c>
      <c r="B4" s="9" t="s">
        <v>7</v>
      </c>
    </row>
    <row r="5" spans="1:2" ht="42" customHeight="1" x14ac:dyDescent="0.3">
      <c r="A5" s="8" t="s">
        <v>8</v>
      </c>
      <c r="B5" s="9" t="s">
        <v>9</v>
      </c>
    </row>
    <row r="6" spans="1:2" ht="42" customHeight="1" x14ac:dyDescent="0.3">
      <c r="A6" s="8" t="s">
        <v>10</v>
      </c>
      <c r="B6" s="9" t="s">
        <v>11</v>
      </c>
    </row>
    <row r="7" spans="1:2" ht="42" customHeight="1" x14ac:dyDescent="0.3">
      <c r="A7" s="8" t="s">
        <v>12</v>
      </c>
      <c r="B7" s="9" t="s">
        <v>13</v>
      </c>
    </row>
    <row r="8" spans="1:2" ht="42" customHeight="1" x14ac:dyDescent="0.3">
      <c r="A8" s="8" t="s">
        <v>14</v>
      </c>
      <c r="B8" s="9" t="s">
        <v>15</v>
      </c>
    </row>
    <row r="9" spans="1:2" ht="42" customHeight="1" x14ac:dyDescent="0.3">
      <c r="A9" s="8" t="s">
        <v>16</v>
      </c>
      <c r="B9" s="9" t="s">
        <v>17</v>
      </c>
    </row>
    <row r="10" spans="1:2" ht="42" customHeight="1" x14ac:dyDescent="0.3">
      <c r="A10" s="9" t="s">
        <v>18</v>
      </c>
      <c r="B10" s="9" t="s">
        <v>19</v>
      </c>
    </row>
    <row r="11" spans="1:2" ht="42" customHeight="1" x14ac:dyDescent="0.3">
      <c r="A11" s="9" t="s">
        <v>20</v>
      </c>
      <c r="B11" s="9" t="s">
        <v>21</v>
      </c>
    </row>
    <row r="12" spans="1:2" ht="42" customHeight="1" x14ac:dyDescent="0.3">
      <c r="A12" s="9" t="s">
        <v>22</v>
      </c>
      <c r="B12" s="9" t="s">
        <v>23</v>
      </c>
    </row>
  </sheetData>
  <printOptions horizontalCentered="1"/>
  <pageMargins left="0.25" right="0.25" top="0.4" bottom="0.4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0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7" width="16" customWidth="1"/>
    <col min="8" max="8" width="14" customWidth="1"/>
  </cols>
  <sheetData>
    <row r="1" spans="1:8" ht="23.4" x14ac:dyDescent="0.45">
      <c r="A1" s="18" t="s">
        <v>24</v>
      </c>
      <c r="B1" s="17"/>
      <c r="C1" s="17"/>
      <c r="D1" s="17"/>
      <c r="E1" s="17"/>
      <c r="F1" s="17"/>
      <c r="G1" s="17"/>
      <c r="H1" s="17"/>
    </row>
    <row r="2" spans="1:8" x14ac:dyDescent="0.3">
      <c r="A2" s="16" t="s">
        <v>25</v>
      </c>
      <c r="B2" s="17"/>
      <c r="C2" s="17"/>
      <c r="D2" s="17"/>
      <c r="E2" s="17"/>
      <c r="F2" s="17"/>
      <c r="G2" s="17"/>
      <c r="H2" s="17"/>
    </row>
    <row r="4" spans="1:8" ht="30" customHeight="1" x14ac:dyDescent="0.3">
      <c r="A4" s="7" t="s">
        <v>26</v>
      </c>
      <c r="B4" s="7" t="s">
        <v>27</v>
      </c>
      <c r="C4" s="7" t="s">
        <v>28</v>
      </c>
      <c r="D4" s="7" t="s">
        <v>29</v>
      </c>
      <c r="E4" s="7" t="s">
        <v>30</v>
      </c>
      <c r="F4" s="7" t="s">
        <v>31</v>
      </c>
      <c r="G4" s="7" t="s">
        <v>32</v>
      </c>
      <c r="H4" s="7" t="s">
        <v>33</v>
      </c>
    </row>
    <row r="5" spans="1:8" x14ac:dyDescent="0.3">
      <c r="A5" s="9" t="s">
        <v>34</v>
      </c>
      <c r="B5" s="10">
        <f>SUMIFS(PerformanceData[Plan],PerformanceData[Month],A5,PerformanceData[Category],"Premium Revenue")</f>
        <v>1250000</v>
      </c>
      <c r="C5" s="10">
        <f>SUMIFS(PerformanceData[Actual],PerformanceData[Month],A5,PerformanceData[Category],"Premium Revenue")</f>
        <v>1285000</v>
      </c>
      <c r="D5" s="10">
        <f>SUMIFS(PerformanceData[Plan],PerformanceData[Month],A5,PerformanceData[Category],"Paid Claims")</f>
        <v>720000</v>
      </c>
      <c r="E5" s="10">
        <f>SUMIFS(PerformanceData[Actual],PerformanceData[Month],A5,PerformanceData[Category],"Paid Claims")</f>
        <v>755000</v>
      </c>
      <c r="F5" s="10">
        <f>SUMIFS(PerformanceData[Plan],PerformanceData[Month],A5,PerformanceData[Category],"Operating Expense")</f>
        <v>310000</v>
      </c>
      <c r="G5" s="10">
        <f>SUMIFS(PerformanceData[Actual],PerformanceData[Month],A5,PerformanceData[Category],"Operating Expense")</f>
        <v>318000</v>
      </c>
      <c r="H5" s="11">
        <f t="shared" ref="H5:H10" si="0">IF(C5=0,0,E5/C5)</f>
        <v>0.58754863813229574</v>
      </c>
    </row>
    <row r="6" spans="1:8" x14ac:dyDescent="0.3">
      <c r="A6" s="9" t="s">
        <v>35</v>
      </c>
      <c r="B6" s="10">
        <f>SUMIFS(PerformanceData[Plan],PerformanceData[Month],A6,PerformanceData[Category],"Premium Revenue")</f>
        <v>1275000</v>
      </c>
      <c r="C6" s="10">
        <f>SUMIFS(PerformanceData[Actual],PerformanceData[Month],A6,PerformanceData[Category],"Premium Revenue")</f>
        <v>1260000</v>
      </c>
      <c r="D6" s="10">
        <f>SUMIFS(PerformanceData[Plan],PerformanceData[Month],A6,PerformanceData[Category],"Paid Claims")</f>
        <v>735000</v>
      </c>
      <c r="E6" s="10">
        <f>SUMIFS(PerformanceData[Actual],PerformanceData[Month],A6,PerformanceData[Category],"Paid Claims")</f>
        <v>790000</v>
      </c>
      <c r="F6" s="10">
        <f>SUMIFS(PerformanceData[Plan],PerformanceData[Month],A6,PerformanceData[Category],"Operating Expense")</f>
        <v>312000</v>
      </c>
      <c r="G6" s="10">
        <f>SUMIFS(PerformanceData[Actual],PerformanceData[Month],A6,PerformanceData[Category],"Operating Expense")</f>
        <v>329000</v>
      </c>
      <c r="H6" s="11">
        <f t="shared" si="0"/>
        <v>0.62698412698412698</v>
      </c>
    </row>
    <row r="7" spans="1:8" x14ac:dyDescent="0.3">
      <c r="A7" s="9" t="s">
        <v>36</v>
      </c>
      <c r="B7" s="10">
        <f>SUMIFS(PerformanceData[Plan],PerformanceData[Month],A7,PerformanceData[Category],"Premium Revenue")</f>
        <v>1300000</v>
      </c>
      <c r="C7" s="10">
        <f>SUMIFS(PerformanceData[Actual],PerformanceData[Month],A7,PerformanceData[Category],"Premium Revenue")</f>
        <v>1318000</v>
      </c>
      <c r="D7" s="10">
        <f>SUMIFS(PerformanceData[Plan],PerformanceData[Month],A7,PerformanceData[Category],"Paid Claims")</f>
        <v>750000</v>
      </c>
      <c r="E7" s="10">
        <f>SUMIFS(PerformanceData[Actual],PerformanceData[Month],A7,PerformanceData[Category],"Paid Claims")</f>
        <v>812000</v>
      </c>
      <c r="F7" s="10">
        <f>SUMIFS(PerformanceData[Plan],PerformanceData[Month],A7,PerformanceData[Category],"Operating Expense")</f>
        <v>315000</v>
      </c>
      <c r="G7" s="10">
        <f>SUMIFS(PerformanceData[Actual],PerformanceData[Month],A7,PerformanceData[Category],"Operating Expense")</f>
        <v>347000</v>
      </c>
      <c r="H7" s="11">
        <f t="shared" si="0"/>
        <v>0.61608497723823974</v>
      </c>
    </row>
    <row r="8" spans="1:8" x14ac:dyDescent="0.3">
      <c r="A8" s="9" t="s">
        <v>37</v>
      </c>
      <c r="B8" s="10">
        <f>SUMIFS(PerformanceData[Plan],PerformanceData[Month],A8,PerformanceData[Category],"Premium Revenue")</f>
        <v>1325000</v>
      </c>
      <c r="C8" s="10">
        <f>SUMIFS(PerformanceData[Actual],PerformanceData[Month],A8,PerformanceData[Category],"Premium Revenue")</f>
        <v>1290000</v>
      </c>
      <c r="D8" s="10">
        <f>SUMIFS(PerformanceData[Plan],PerformanceData[Month],A8,PerformanceData[Category],"Paid Claims")</f>
        <v>760000</v>
      </c>
      <c r="E8" s="10">
        <f>SUMIFS(PerformanceData[Actual],PerformanceData[Month],A8,PerformanceData[Category],"Paid Claims")</f>
        <v>801000</v>
      </c>
      <c r="F8" s="10">
        <f>SUMIFS(PerformanceData[Plan],PerformanceData[Month],A8,PerformanceData[Category],"Operating Expense")</f>
        <v>318000</v>
      </c>
      <c r="G8" s="10">
        <f>SUMIFS(PerformanceData[Actual],PerformanceData[Month],A8,PerformanceData[Category],"Operating Expense")</f>
        <v>333000</v>
      </c>
      <c r="H8" s="11">
        <f t="shared" si="0"/>
        <v>0.62093023255813951</v>
      </c>
    </row>
    <row r="9" spans="1:8" x14ac:dyDescent="0.3">
      <c r="A9" s="9" t="s">
        <v>38</v>
      </c>
      <c r="B9" s="10">
        <f>SUMIFS(PerformanceData[Plan],PerformanceData[Month],A9,PerformanceData[Category],"Premium Revenue")</f>
        <v>1350000</v>
      </c>
      <c r="C9" s="10">
        <f>SUMIFS(PerformanceData[Actual],PerformanceData[Month],A9,PerformanceData[Category],"Premium Revenue")</f>
        <v>1375000</v>
      </c>
      <c r="D9" s="10">
        <f>SUMIFS(PerformanceData[Plan],PerformanceData[Month],A9,PerformanceData[Category],"Paid Claims")</f>
        <v>775000</v>
      </c>
      <c r="E9" s="10">
        <f>SUMIFS(PerformanceData[Actual],PerformanceData[Month],A9,PerformanceData[Category],"Paid Claims")</f>
        <v>824000</v>
      </c>
      <c r="F9" s="10">
        <f>SUMIFS(PerformanceData[Plan],PerformanceData[Month],A9,PerformanceData[Category],"Operating Expense")</f>
        <v>320000</v>
      </c>
      <c r="G9" s="10">
        <f>SUMIFS(PerformanceData[Actual],PerformanceData[Month],A9,PerformanceData[Category],"Operating Expense")</f>
        <v>326000</v>
      </c>
      <c r="H9" s="11">
        <f t="shared" si="0"/>
        <v>0.59927272727272729</v>
      </c>
    </row>
    <row r="10" spans="1:8" x14ac:dyDescent="0.3">
      <c r="A10" s="9" t="s">
        <v>39</v>
      </c>
      <c r="B10" s="10">
        <f>SUMIFS(PerformanceData[Plan],PerformanceData[Month],A10,PerformanceData[Category],"Premium Revenue")</f>
        <v>1375000</v>
      </c>
      <c r="C10" s="10">
        <f>SUMIFS(PerformanceData[Actual],PerformanceData[Month],A10,PerformanceData[Category],"Premium Revenue")</f>
        <v>1332000</v>
      </c>
      <c r="D10" s="10">
        <f>SUMIFS(PerformanceData[Plan],PerformanceData[Month],A10,PerformanceData[Category],"Paid Claims")</f>
        <v>790000</v>
      </c>
      <c r="E10" s="10">
        <f>SUMIFS(PerformanceData[Actual],PerformanceData[Month],A10,PerformanceData[Category],"Paid Claims")</f>
        <v>858000</v>
      </c>
      <c r="F10" s="10">
        <f>SUMIFS(PerformanceData[Plan],PerformanceData[Month],A10,PerformanceData[Category],"Operating Expense")</f>
        <v>322000</v>
      </c>
      <c r="G10" s="10">
        <f>SUMIFS(PerformanceData[Actual],PerformanceData[Month],A10,PerformanceData[Category],"Operating Expense")</f>
        <v>361000</v>
      </c>
      <c r="H10" s="11">
        <f t="shared" si="0"/>
        <v>0.64414414414414412</v>
      </c>
    </row>
  </sheetData>
  <mergeCells count="2">
    <mergeCell ref="A2:H2"/>
    <mergeCell ref="A1:H1"/>
  </mergeCells>
  <printOptions horizontalCentered="1"/>
  <pageMargins left="0.25" right="0.25" top="0.4" bottom="0.4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20" customWidth="1"/>
    <col min="3" max="5" width="14" customWidth="1"/>
    <col min="6" max="6" width="12" customWidth="1"/>
    <col min="7" max="7" width="15" customWidth="1"/>
    <col min="8" max="8" width="18" customWidth="1"/>
    <col min="9" max="9" width="42" customWidth="1"/>
  </cols>
  <sheetData>
    <row r="1" spans="1:9" ht="28.05" customHeight="1" x14ac:dyDescent="0.3">
      <c r="A1" s="1" t="s">
        <v>26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8</v>
      </c>
      <c r="H1" s="1" t="s">
        <v>45</v>
      </c>
      <c r="I1" s="1" t="s">
        <v>46</v>
      </c>
    </row>
    <row r="2" spans="1:9" ht="28.8" x14ac:dyDescent="0.3">
      <c r="A2" s="2" t="s">
        <v>34</v>
      </c>
      <c r="B2" s="2" t="s">
        <v>47</v>
      </c>
      <c r="C2" s="3">
        <v>1250000</v>
      </c>
      <c r="D2" s="3">
        <v>1285000</v>
      </c>
      <c r="E2" s="3">
        <f t="shared" ref="E2:E19" si="0">D2-C2</f>
        <v>35000</v>
      </c>
      <c r="F2" s="4">
        <f t="shared" ref="F2:F19" si="1">IF(C2=0,0,E2/C2)</f>
        <v>2.8000000000000001E-2</v>
      </c>
      <c r="G2" s="2" t="str">
        <f t="shared" ref="G2:G19" si="2">IF(B2="Premium Revenue",IF(E2&gt;=0,"Favorable","Unfavorable"),IF(E2&lt;=0,"Favorable","Unfavorable"))</f>
        <v>Favorable</v>
      </c>
      <c r="H2" s="2" t="s">
        <v>48</v>
      </c>
      <c r="I2" s="2" t="s">
        <v>49</v>
      </c>
    </row>
    <row r="3" spans="1:9" ht="28.8" x14ac:dyDescent="0.3">
      <c r="A3" s="2" t="s">
        <v>34</v>
      </c>
      <c r="B3" s="2" t="s">
        <v>50</v>
      </c>
      <c r="C3" s="3">
        <v>720000</v>
      </c>
      <c r="D3" s="3">
        <v>755000</v>
      </c>
      <c r="E3" s="3">
        <f t="shared" si="0"/>
        <v>35000</v>
      </c>
      <c r="F3" s="4">
        <f t="shared" si="1"/>
        <v>4.8611111111111112E-2</v>
      </c>
      <c r="G3" s="2" t="str">
        <f t="shared" si="2"/>
        <v>Unfavorable</v>
      </c>
      <c r="H3" s="2" t="s">
        <v>51</v>
      </c>
      <c r="I3" s="2" t="s">
        <v>52</v>
      </c>
    </row>
    <row r="4" spans="1:9" ht="28.8" x14ac:dyDescent="0.3">
      <c r="A4" s="2" t="s">
        <v>34</v>
      </c>
      <c r="B4" s="2" t="s">
        <v>53</v>
      </c>
      <c r="C4" s="3">
        <v>310000</v>
      </c>
      <c r="D4" s="3">
        <v>318000</v>
      </c>
      <c r="E4" s="3">
        <f t="shared" si="0"/>
        <v>8000</v>
      </c>
      <c r="F4" s="4">
        <f t="shared" si="1"/>
        <v>2.5806451612903226E-2</v>
      </c>
      <c r="G4" s="2" t="str">
        <f t="shared" si="2"/>
        <v>Unfavorable</v>
      </c>
      <c r="H4" s="2" t="s">
        <v>54</v>
      </c>
      <c r="I4" s="2" t="s">
        <v>55</v>
      </c>
    </row>
    <row r="5" spans="1:9" ht="28.8" x14ac:dyDescent="0.3">
      <c r="A5" s="2" t="s">
        <v>35</v>
      </c>
      <c r="B5" s="2" t="s">
        <v>47</v>
      </c>
      <c r="C5" s="3">
        <v>1275000</v>
      </c>
      <c r="D5" s="3">
        <v>1260000</v>
      </c>
      <c r="E5" s="3">
        <f t="shared" si="0"/>
        <v>-15000</v>
      </c>
      <c r="F5" s="4">
        <f t="shared" si="1"/>
        <v>-1.1764705882352941E-2</v>
      </c>
      <c r="G5" s="2" t="str">
        <f t="shared" si="2"/>
        <v>Unfavorable</v>
      </c>
      <c r="H5" s="2" t="s">
        <v>48</v>
      </c>
      <c r="I5" s="2" t="s">
        <v>49</v>
      </c>
    </row>
    <row r="6" spans="1:9" ht="28.8" x14ac:dyDescent="0.3">
      <c r="A6" s="2" t="s">
        <v>35</v>
      </c>
      <c r="B6" s="2" t="s">
        <v>50</v>
      </c>
      <c r="C6" s="3">
        <v>735000</v>
      </c>
      <c r="D6" s="3">
        <v>790000</v>
      </c>
      <c r="E6" s="3">
        <f t="shared" si="0"/>
        <v>55000</v>
      </c>
      <c r="F6" s="4">
        <f t="shared" si="1"/>
        <v>7.4829931972789115E-2</v>
      </c>
      <c r="G6" s="2" t="str">
        <f t="shared" si="2"/>
        <v>Unfavorable</v>
      </c>
      <c r="H6" s="2" t="s">
        <v>51</v>
      </c>
      <c r="I6" s="2" t="s">
        <v>52</v>
      </c>
    </row>
    <row r="7" spans="1:9" ht="28.8" x14ac:dyDescent="0.3">
      <c r="A7" s="2" t="s">
        <v>35</v>
      </c>
      <c r="B7" s="2" t="s">
        <v>53</v>
      </c>
      <c r="C7" s="3">
        <v>312000</v>
      </c>
      <c r="D7" s="3">
        <v>329000</v>
      </c>
      <c r="E7" s="3">
        <f t="shared" si="0"/>
        <v>17000</v>
      </c>
      <c r="F7" s="4">
        <f t="shared" si="1"/>
        <v>5.4487179487179488E-2</v>
      </c>
      <c r="G7" s="2" t="str">
        <f t="shared" si="2"/>
        <v>Unfavorable</v>
      </c>
      <c r="H7" s="2" t="s">
        <v>54</v>
      </c>
      <c r="I7" s="2" t="s">
        <v>55</v>
      </c>
    </row>
    <row r="8" spans="1:9" ht="28.8" x14ac:dyDescent="0.3">
      <c r="A8" s="2" t="s">
        <v>36</v>
      </c>
      <c r="B8" s="2" t="s">
        <v>47</v>
      </c>
      <c r="C8" s="3">
        <v>1300000</v>
      </c>
      <c r="D8" s="3">
        <v>1318000</v>
      </c>
      <c r="E8" s="3">
        <f t="shared" si="0"/>
        <v>18000</v>
      </c>
      <c r="F8" s="4">
        <f t="shared" si="1"/>
        <v>1.3846153846153847E-2</v>
      </c>
      <c r="G8" s="2" t="str">
        <f t="shared" si="2"/>
        <v>Favorable</v>
      </c>
      <c r="H8" s="2" t="s">
        <v>48</v>
      </c>
      <c r="I8" s="2" t="s">
        <v>49</v>
      </c>
    </row>
    <row r="9" spans="1:9" ht="28.8" x14ac:dyDescent="0.3">
      <c r="A9" s="2" t="s">
        <v>36</v>
      </c>
      <c r="B9" s="2" t="s">
        <v>50</v>
      </c>
      <c r="C9" s="3">
        <v>750000</v>
      </c>
      <c r="D9" s="3">
        <v>812000</v>
      </c>
      <c r="E9" s="3">
        <f t="shared" si="0"/>
        <v>62000</v>
      </c>
      <c r="F9" s="4">
        <f t="shared" si="1"/>
        <v>8.2666666666666666E-2</v>
      </c>
      <c r="G9" s="2" t="str">
        <f t="shared" si="2"/>
        <v>Unfavorable</v>
      </c>
      <c r="H9" s="2" t="s">
        <v>51</v>
      </c>
      <c r="I9" s="2" t="s">
        <v>52</v>
      </c>
    </row>
    <row r="10" spans="1:9" ht="28.8" x14ac:dyDescent="0.3">
      <c r="A10" s="2" t="s">
        <v>36</v>
      </c>
      <c r="B10" s="2" t="s">
        <v>53</v>
      </c>
      <c r="C10" s="3">
        <v>315000</v>
      </c>
      <c r="D10" s="3">
        <v>347000</v>
      </c>
      <c r="E10" s="3">
        <f t="shared" si="0"/>
        <v>32000</v>
      </c>
      <c r="F10" s="4">
        <f t="shared" si="1"/>
        <v>0.10158730158730159</v>
      </c>
      <c r="G10" s="2" t="str">
        <f t="shared" si="2"/>
        <v>Unfavorable</v>
      </c>
      <c r="H10" s="2" t="s">
        <v>54</v>
      </c>
      <c r="I10" s="2" t="s">
        <v>55</v>
      </c>
    </row>
    <row r="11" spans="1:9" ht="28.8" x14ac:dyDescent="0.3">
      <c r="A11" s="2" t="s">
        <v>37</v>
      </c>
      <c r="B11" s="2" t="s">
        <v>47</v>
      </c>
      <c r="C11" s="3">
        <v>1325000</v>
      </c>
      <c r="D11" s="3">
        <v>1290000</v>
      </c>
      <c r="E11" s="3">
        <f t="shared" si="0"/>
        <v>-35000</v>
      </c>
      <c r="F11" s="4">
        <f t="shared" si="1"/>
        <v>-2.6415094339622643E-2</v>
      </c>
      <c r="G11" s="2" t="str">
        <f t="shared" si="2"/>
        <v>Unfavorable</v>
      </c>
      <c r="H11" s="2" t="s">
        <v>48</v>
      </c>
      <c r="I11" s="2" t="s">
        <v>49</v>
      </c>
    </row>
    <row r="12" spans="1:9" ht="28.8" x14ac:dyDescent="0.3">
      <c r="A12" s="2" t="s">
        <v>37</v>
      </c>
      <c r="B12" s="2" t="s">
        <v>50</v>
      </c>
      <c r="C12" s="3">
        <v>760000</v>
      </c>
      <c r="D12" s="3">
        <v>801000</v>
      </c>
      <c r="E12" s="3">
        <f t="shared" si="0"/>
        <v>41000</v>
      </c>
      <c r="F12" s="4">
        <f t="shared" si="1"/>
        <v>5.3947368421052633E-2</v>
      </c>
      <c r="G12" s="2" t="str">
        <f t="shared" si="2"/>
        <v>Unfavorable</v>
      </c>
      <c r="H12" s="2" t="s">
        <v>51</v>
      </c>
      <c r="I12" s="2" t="s">
        <v>52</v>
      </c>
    </row>
    <row r="13" spans="1:9" ht="28.8" x14ac:dyDescent="0.3">
      <c r="A13" s="2" t="s">
        <v>37</v>
      </c>
      <c r="B13" s="2" t="s">
        <v>53</v>
      </c>
      <c r="C13" s="3">
        <v>318000</v>
      </c>
      <c r="D13" s="3">
        <v>333000</v>
      </c>
      <c r="E13" s="3">
        <f t="shared" si="0"/>
        <v>15000</v>
      </c>
      <c r="F13" s="4">
        <f t="shared" si="1"/>
        <v>4.716981132075472E-2</v>
      </c>
      <c r="G13" s="2" t="str">
        <f t="shared" si="2"/>
        <v>Unfavorable</v>
      </c>
      <c r="H13" s="2" t="s">
        <v>54</v>
      </c>
      <c r="I13" s="2" t="s">
        <v>55</v>
      </c>
    </row>
    <row r="14" spans="1:9" ht="28.8" x14ac:dyDescent="0.3">
      <c r="A14" s="2" t="s">
        <v>38</v>
      </c>
      <c r="B14" s="2" t="s">
        <v>47</v>
      </c>
      <c r="C14" s="3">
        <v>1350000</v>
      </c>
      <c r="D14" s="3">
        <v>1375000</v>
      </c>
      <c r="E14" s="3">
        <f t="shared" si="0"/>
        <v>25000</v>
      </c>
      <c r="F14" s="4">
        <f t="shared" si="1"/>
        <v>1.8518518518518517E-2</v>
      </c>
      <c r="G14" s="2" t="str">
        <f t="shared" si="2"/>
        <v>Favorable</v>
      </c>
      <c r="H14" s="2" t="s">
        <v>48</v>
      </c>
      <c r="I14" s="2" t="s">
        <v>49</v>
      </c>
    </row>
    <row r="15" spans="1:9" ht="28.8" x14ac:dyDescent="0.3">
      <c r="A15" s="2" t="s">
        <v>38</v>
      </c>
      <c r="B15" s="2" t="s">
        <v>50</v>
      </c>
      <c r="C15" s="3">
        <v>775000</v>
      </c>
      <c r="D15" s="3">
        <v>824000</v>
      </c>
      <c r="E15" s="3">
        <f t="shared" si="0"/>
        <v>49000</v>
      </c>
      <c r="F15" s="4">
        <f t="shared" si="1"/>
        <v>6.3225806451612909E-2</v>
      </c>
      <c r="G15" s="2" t="str">
        <f t="shared" si="2"/>
        <v>Unfavorable</v>
      </c>
      <c r="H15" s="2" t="s">
        <v>51</v>
      </c>
      <c r="I15" s="2" t="s">
        <v>52</v>
      </c>
    </row>
    <row r="16" spans="1:9" ht="28.8" x14ac:dyDescent="0.3">
      <c r="A16" s="2" t="s">
        <v>38</v>
      </c>
      <c r="B16" s="2" t="s">
        <v>53</v>
      </c>
      <c r="C16" s="3">
        <v>320000</v>
      </c>
      <c r="D16" s="3">
        <v>326000</v>
      </c>
      <c r="E16" s="3">
        <f t="shared" si="0"/>
        <v>6000</v>
      </c>
      <c r="F16" s="4">
        <f t="shared" si="1"/>
        <v>1.8749999999999999E-2</v>
      </c>
      <c r="G16" s="2" t="str">
        <f t="shared" si="2"/>
        <v>Unfavorable</v>
      </c>
      <c r="H16" s="2" t="s">
        <v>54</v>
      </c>
      <c r="I16" s="2" t="s">
        <v>55</v>
      </c>
    </row>
    <row r="17" spans="1:9" ht="28.8" x14ac:dyDescent="0.3">
      <c r="A17" s="2" t="s">
        <v>39</v>
      </c>
      <c r="B17" s="2" t="s">
        <v>47</v>
      </c>
      <c r="C17" s="3">
        <v>1375000</v>
      </c>
      <c r="D17" s="3">
        <v>1332000</v>
      </c>
      <c r="E17" s="3">
        <f t="shared" si="0"/>
        <v>-43000</v>
      </c>
      <c r="F17" s="4">
        <f t="shared" si="1"/>
        <v>-3.1272727272727271E-2</v>
      </c>
      <c r="G17" s="2" t="str">
        <f t="shared" si="2"/>
        <v>Unfavorable</v>
      </c>
      <c r="H17" s="2" t="s">
        <v>48</v>
      </c>
      <c r="I17" s="2" t="s">
        <v>49</v>
      </c>
    </row>
    <row r="18" spans="1:9" ht="28.8" x14ac:dyDescent="0.3">
      <c r="A18" s="2" t="s">
        <v>39</v>
      </c>
      <c r="B18" s="2" t="s">
        <v>50</v>
      </c>
      <c r="C18" s="3">
        <v>790000</v>
      </c>
      <c r="D18" s="3">
        <v>858000</v>
      </c>
      <c r="E18" s="3">
        <f t="shared" si="0"/>
        <v>68000</v>
      </c>
      <c r="F18" s="4">
        <f t="shared" si="1"/>
        <v>8.6075949367088608E-2</v>
      </c>
      <c r="G18" s="2" t="str">
        <f t="shared" si="2"/>
        <v>Unfavorable</v>
      </c>
      <c r="H18" s="2" t="s">
        <v>51</v>
      </c>
      <c r="I18" s="2" t="s">
        <v>52</v>
      </c>
    </row>
    <row r="19" spans="1:9" ht="28.8" x14ac:dyDescent="0.3">
      <c r="A19" s="2" t="s">
        <v>39</v>
      </c>
      <c r="B19" s="2" t="s">
        <v>53</v>
      </c>
      <c r="C19" s="3">
        <v>322000</v>
      </c>
      <c r="D19" s="3">
        <v>361000</v>
      </c>
      <c r="E19" s="3">
        <f t="shared" si="0"/>
        <v>39000</v>
      </c>
      <c r="F19" s="4">
        <f t="shared" si="1"/>
        <v>0.12111801242236025</v>
      </c>
      <c r="G19" s="2" t="str">
        <f t="shared" si="2"/>
        <v>Unfavorable</v>
      </c>
      <c r="H19" s="2" t="s">
        <v>54</v>
      </c>
      <c r="I19" s="2" t="s">
        <v>55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22" customWidth="1"/>
    <col min="3" max="3" width="20" customWidth="1"/>
    <col min="4" max="4" width="13" customWidth="1"/>
    <col min="5" max="5" width="23" customWidth="1"/>
    <col min="6" max="6" width="36" customWidth="1"/>
  </cols>
  <sheetData>
    <row r="1" spans="1:6" ht="28.05" customHeight="1" x14ac:dyDescent="0.3">
      <c r="A1" s="1" t="s">
        <v>26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</row>
    <row r="2" spans="1:6" ht="28.8" x14ac:dyDescent="0.3">
      <c r="A2" s="2" t="s">
        <v>34</v>
      </c>
      <c r="B2" s="5">
        <f>PerformanceData!D2</f>
        <v>1285000</v>
      </c>
      <c r="C2" s="5">
        <f>PerformanceData!D3</f>
        <v>755000</v>
      </c>
      <c r="D2" s="6">
        <f t="shared" ref="D2:D7" si="0">IF(B2=0,0,C2/B2)</f>
        <v>0.58754863813229574</v>
      </c>
      <c r="E2" s="2" t="s">
        <v>61</v>
      </c>
      <c r="F2" s="2" t="s">
        <v>62</v>
      </c>
    </row>
    <row r="3" spans="1:6" ht="28.8" x14ac:dyDescent="0.3">
      <c r="A3" s="2" t="s">
        <v>35</v>
      </c>
      <c r="B3" s="5">
        <f>PerformanceData!D5</f>
        <v>1260000</v>
      </c>
      <c r="C3" s="5">
        <f>PerformanceData!D6</f>
        <v>790000</v>
      </c>
      <c r="D3" s="6">
        <f t="shared" si="0"/>
        <v>0.62698412698412698</v>
      </c>
      <c r="E3" s="2" t="s">
        <v>63</v>
      </c>
      <c r="F3" s="2" t="s">
        <v>62</v>
      </c>
    </row>
    <row r="4" spans="1:6" ht="28.8" x14ac:dyDescent="0.3">
      <c r="A4" s="2" t="s">
        <v>36</v>
      </c>
      <c r="B4" s="5">
        <f>PerformanceData!D8</f>
        <v>1318000</v>
      </c>
      <c r="C4" s="5">
        <f>PerformanceData!D9</f>
        <v>812000</v>
      </c>
      <c r="D4" s="6">
        <f t="shared" si="0"/>
        <v>0.61608497723823974</v>
      </c>
      <c r="E4" s="2" t="s">
        <v>64</v>
      </c>
      <c r="F4" s="2" t="s">
        <v>62</v>
      </c>
    </row>
    <row r="5" spans="1:6" ht="28.8" x14ac:dyDescent="0.3">
      <c r="A5" s="2" t="s">
        <v>37</v>
      </c>
      <c r="B5" s="5">
        <f>PerformanceData!D11</f>
        <v>1290000</v>
      </c>
      <c r="C5" s="5">
        <f>PerformanceData!D12</f>
        <v>801000</v>
      </c>
      <c r="D5" s="6">
        <f t="shared" si="0"/>
        <v>0.62093023255813951</v>
      </c>
      <c r="E5" s="2" t="s">
        <v>65</v>
      </c>
      <c r="F5" s="2" t="s">
        <v>62</v>
      </c>
    </row>
    <row r="6" spans="1:6" ht="28.8" x14ac:dyDescent="0.3">
      <c r="A6" s="2" t="s">
        <v>38</v>
      </c>
      <c r="B6" s="5">
        <f>PerformanceData!D14</f>
        <v>1375000</v>
      </c>
      <c r="C6" s="5">
        <f>PerformanceData!D15</f>
        <v>824000</v>
      </c>
      <c r="D6" s="6">
        <f t="shared" si="0"/>
        <v>0.59927272727272729</v>
      </c>
      <c r="E6" s="2" t="s">
        <v>66</v>
      </c>
      <c r="F6" s="2" t="s">
        <v>62</v>
      </c>
    </row>
    <row r="7" spans="1:6" ht="28.8" x14ac:dyDescent="0.3">
      <c r="A7" s="2" t="s">
        <v>39</v>
      </c>
      <c r="B7" s="5">
        <f>PerformanceData!D17</f>
        <v>1332000</v>
      </c>
      <c r="C7" s="5">
        <f>PerformanceData!D18</f>
        <v>858000</v>
      </c>
      <c r="D7" s="6">
        <f t="shared" si="0"/>
        <v>0.64414414414414412</v>
      </c>
      <c r="E7" s="2" t="s">
        <v>67</v>
      </c>
      <c r="F7" s="2" t="s">
        <v>62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2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0" customWidth="1"/>
    <col min="3" max="3" width="18" customWidth="1"/>
    <col min="4" max="4" width="14" customWidth="1"/>
    <col min="5" max="5" width="12" customWidth="1"/>
    <col min="6" max="7" width="15" customWidth="1"/>
    <col min="8" max="8" width="14" customWidth="1"/>
    <col min="9" max="9" width="38" customWidth="1"/>
  </cols>
  <sheetData>
    <row r="1" spans="1:9" ht="30" customHeight="1" x14ac:dyDescent="0.3">
      <c r="A1" s="7" t="s">
        <v>68</v>
      </c>
      <c r="B1" s="7" t="s">
        <v>26</v>
      </c>
      <c r="C1" s="7" t="s">
        <v>69</v>
      </c>
      <c r="D1" s="7" t="s">
        <v>70</v>
      </c>
      <c r="E1" s="7" t="s">
        <v>71</v>
      </c>
      <c r="F1" s="7" t="s">
        <v>72</v>
      </c>
      <c r="G1" s="7" t="s">
        <v>73</v>
      </c>
      <c r="H1" s="7" t="s">
        <v>43</v>
      </c>
      <c r="I1" s="7" t="s">
        <v>74</v>
      </c>
    </row>
    <row r="2" spans="1:9" x14ac:dyDescent="0.3">
      <c r="A2" s="9" t="s">
        <v>75</v>
      </c>
      <c r="B2" s="9" t="s">
        <v>34</v>
      </c>
      <c r="C2" s="9" t="s">
        <v>76</v>
      </c>
      <c r="D2" s="9" t="s">
        <v>77</v>
      </c>
      <c r="E2" s="9" t="s">
        <v>78</v>
      </c>
      <c r="F2" s="10">
        <v>337500</v>
      </c>
      <c r="G2" s="10">
        <v>321250</v>
      </c>
      <c r="H2" s="10">
        <f t="shared" ref="H2:H25" si="0">G2-F2</f>
        <v>-16250</v>
      </c>
      <c r="I2" s="9" t="s">
        <v>79</v>
      </c>
    </row>
    <row r="3" spans="1:9" x14ac:dyDescent="0.3">
      <c r="A3" s="9" t="s">
        <v>80</v>
      </c>
      <c r="B3" s="9" t="s">
        <v>34</v>
      </c>
      <c r="C3" s="9" t="s">
        <v>81</v>
      </c>
      <c r="D3" s="9" t="s">
        <v>82</v>
      </c>
      <c r="E3" s="9" t="s">
        <v>78</v>
      </c>
      <c r="F3" s="10">
        <v>375000</v>
      </c>
      <c r="G3" s="10">
        <v>385500</v>
      </c>
      <c r="H3" s="10">
        <f t="shared" si="0"/>
        <v>10500</v>
      </c>
      <c r="I3" s="9" t="s">
        <v>79</v>
      </c>
    </row>
    <row r="4" spans="1:9" x14ac:dyDescent="0.3">
      <c r="A4" s="9" t="s">
        <v>83</v>
      </c>
      <c r="B4" s="9" t="s">
        <v>34</v>
      </c>
      <c r="C4" s="9" t="s">
        <v>84</v>
      </c>
      <c r="D4" s="9" t="s">
        <v>82</v>
      </c>
      <c r="E4" s="9" t="s">
        <v>85</v>
      </c>
      <c r="F4" s="10">
        <v>312500</v>
      </c>
      <c r="G4" s="10">
        <v>346950</v>
      </c>
      <c r="H4" s="10">
        <f t="shared" si="0"/>
        <v>34450</v>
      </c>
      <c r="I4" s="9" t="s">
        <v>79</v>
      </c>
    </row>
    <row r="5" spans="1:9" x14ac:dyDescent="0.3">
      <c r="A5" s="9" t="s">
        <v>86</v>
      </c>
      <c r="B5" s="9" t="s">
        <v>34</v>
      </c>
      <c r="C5" s="9" t="s">
        <v>87</v>
      </c>
      <c r="D5" s="9" t="s">
        <v>88</v>
      </c>
      <c r="E5" s="9" t="s">
        <v>89</v>
      </c>
      <c r="F5" s="10">
        <v>225000</v>
      </c>
      <c r="G5" s="10">
        <v>231300</v>
      </c>
      <c r="H5" s="10">
        <f t="shared" si="0"/>
        <v>6300</v>
      </c>
      <c r="I5" s="9" t="s">
        <v>79</v>
      </c>
    </row>
    <row r="6" spans="1:9" x14ac:dyDescent="0.3">
      <c r="A6" s="9" t="s">
        <v>90</v>
      </c>
      <c r="B6" s="9" t="s">
        <v>35</v>
      </c>
      <c r="C6" s="9" t="s">
        <v>76</v>
      </c>
      <c r="D6" s="9" t="s">
        <v>77</v>
      </c>
      <c r="E6" s="9" t="s">
        <v>78</v>
      </c>
      <c r="F6" s="10">
        <v>344250</v>
      </c>
      <c r="G6" s="10">
        <v>315000</v>
      </c>
      <c r="H6" s="10">
        <f t="shared" si="0"/>
        <v>-29250</v>
      </c>
      <c r="I6" s="9" t="s">
        <v>91</v>
      </c>
    </row>
    <row r="7" spans="1:9" x14ac:dyDescent="0.3">
      <c r="A7" s="9" t="s">
        <v>92</v>
      </c>
      <c r="B7" s="9" t="s">
        <v>35</v>
      </c>
      <c r="C7" s="9" t="s">
        <v>81</v>
      </c>
      <c r="D7" s="9" t="s">
        <v>82</v>
      </c>
      <c r="E7" s="9" t="s">
        <v>78</v>
      </c>
      <c r="F7" s="10">
        <v>382500</v>
      </c>
      <c r="G7" s="10">
        <v>378000</v>
      </c>
      <c r="H7" s="10">
        <f t="shared" si="0"/>
        <v>-4500</v>
      </c>
      <c r="I7" s="9" t="s">
        <v>79</v>
      </c>
    </row>
    <row r="8" spans="1:9" x14ac:dyDescent="0.3">
      <c r="A8" s="9" t="s">
        <v>93</v>
      </c>
      <c r="B8" s="9" t="s">
        <v>35</v>
      </c>
      <c r="C8" s="9" t="s">
        <v>84</v>
      </c>
      <c r="D8" s="9" t="s">
        <v>82</v>
      </c>
      <c r="E8" s="9" t="s">
        <v>85</v>
      </c>
      <c r="F8" s="10">
        <v>318750</v>
      </c>
      <c r="G8" s="10">
        <v>340200</v>
      </c>
      <c r="H8" s="10">
        <f t="shared" si="0"/>
        <v>21450</v>
      </c>
      <c r="I8" s="9" t="s">
        <v>79</v>
      </c>
    </row>
    <row r="9" spans="1:9" x14ac:dyDescent="0.3">
      <c r="A9" s="9" t="s">
        <v>94</v>
      </c>
      <c r="B9" s="9" t="s">
        <v>35</v>
      </c>
      <c r="C9" s="9" t="s">
        <v>87</v>
      </c>
      <c r="D9" s="9" t="s">
        <v>88</v>
      </c>
      <c r="E9" s="9" t="s">
        <v>89</v>
      </c>
      <c r="F9" s="10">
        <v>229500</v>
      </c>
      <c r="G9" s="10">
        <v>226800</v>
      </c>
      <c r="H9" s="10">
        <f t="shared" si="0"/>
        <v>-2700</v>
      </c>
      <c r="I9" s="9" t="s">
        <v>79</v>
      </c>
    </row>
    <row r="10" spans="1:9" x14ac:dyDescent="0.3">
      <c r="A10" s="9" t="s">
        <v>95</v>
      </c>
      <c r="B10" s="9" t="s">
        <v>36</v>
      </c>
      <c r="C10" s="9" t="s">
        <v>76</v>
      </c>
      <c r="D10" s="9" t="s">
        <v>77</v>
      </c>
      <c r="E10" s="9" t="s">
        <v>78</v>
      </c>
      <c r="F10" s="10">
        <v>351000</v>
      </c>
      <c r="G10" s="10">
        <v>329500</v>
      </c>
      <c r="H10" s="10">
        <f t="shared" si="0"/>
        <v>-21500</v>
      </c>
      <c r="I10" s="9" t="s">
        <v>79</v>
      </c>
    </row>
    <row r="11" spans="1:9" x14ac:dyDescent="0.3">
      <c r="A11" s="9" t="s">
        <v>96</v>
      </c>
      <c r="B11" s="9" t="s">
        <v>36</v>
      </c>
      <c r="C11" s="9" t="s">
        <v>81</v>
      </c>
      <c r="D11" s="9" t="s">
        <v>82</v>
      </c>
      <c r="E11" s="9" t="s">
        <v>78</v>
      </c>
      <c r="F11" s="10">
        <v>390000</v>
      </c>
      <c r="G11" s="10">
        <v>395400</v>
      </c>
      <c r="H11" s="10">
        <f t="shared" si="0"/>
        <v>5400</v>
      </c>
      <c r="I11" s="9" t="s">
        <v>79</v>
      </c>
    </row>
    <row r="12" spans="1:9" x14ac:dyDescent="0.3">
      <c r="A12" s="9" t="s">
        <v>97</v>
      </c>
      <c r="B12" s="9" t="s">
        <v>36</v>
      </c>
      <c r="C12" s="9" t="s">
        <v>84</v>
      </c>
      <c r="D12" s="9" t="s">
        <v>82</v>
      </c>
      <c r="E12" s="9" t="s">
        <v>85</v>
      </c>
      <c r="F12" s="10">
        <v>325000</v>
      </c>
      <c r="G12" s="10">
        <v>355860</v>
      </c>
      <c r="H12" s="10">
        <f t="shared" si="0"/>
        <v>30860</v>
      </c>
      <c r="I12" s="9" t="s">
        <v>79</v>
      </c>
    </row>
    <row r="13" spans="1:9" x14ac:dyDescent="0.3">
      <c r="A13" s="9" t="s">
        <v>98</v>
      </c>
      <c r="B13" s="9" t="s">
        <v>36</v>
      </c>
      <c r="C13" s="9" t="s">
        <v>87</v>
      </c>
      <c r="D13" s="9" t="s">
        <v>88</v>
      </c>
      <c r="E13" s="9" t="s">
        <v>89</v>
      </c>
      <c r="F13" s="10">
        <v>234000</v>
      </c>
      <c r="G13" s="10">
        <v>237240</v>
      </c>
      <c r="H13" s="10">
        <f t="shared" si="0"/>
        <v>3240</v>
      </c>
      <c r="I13" s="9" t="s">
        <v>79</v>
      </c>
    </row>
    <row r="14" spans="1:9" x14ac:dyDescent="0.3">
      <c r="A14" s="9" t="s">
        <v>99</v>
      </c>
      <c r="B14" s="9" t="s">
        <v>37</v>
      </c>
      <c r="C14" s="9" t="s">
        <v>76</v>
      </c>
      <c r="D14" s="9" t="s">
        <v>77</v>
      </c>
      <c r="E14" s="9" t="s">
        <v>78</v>
      </c>
      <c r="F14" s="10">
        <v>357750</v>
      </c>
      <c r="G14" s="10">
        <v>296700</v>
      </c>
      <c r="H14" s="10">
        <f t="shared" si="0"/>
        <v>-61050</v>
      </c>
      <c r="I14" s="9" t="s">
        <v>91</v>
      </c>
    </row>
    <row r="15" spans="1:9" x14ac:dyDescent="0.3">
      <c r="A15" s="9" t="s">
        <v>100</v>
      </c>
      <c r="B15" s="9" t="s">
        <v>37</v>
      </c>
      <c r="C15" s="9" t="s">
        <v>81</v>
      </c>
      <c r="D15" s="9" t="s">
        <v>82</v>
      </c>
      <c r="E15" s="9" t="s">
        <v>78</v>
      </c>
      <c r="F15" s="10">
        <v>397500</v>
      </c>
      <c r="G15" s="10">
        <v>374100</v>
      </c>
      <c r="H15" s="10">
        <f t="shared" si="0"/>
        <v>-23400</v>
      </c>
      <c r="I15" s="9" t="s">
        <v>79</v>
      </c>
    </row>
    <row r="16" spans="1:9" x14ac:dyDescent="0.3">
      <c r="A16" s="9" t="s">
        <v>101</v>
      </c>
      <c r="B16" s="9" t="s">
        <v>37</v>
      </c>
      <c r="C16" s="9" t="s">
        <v>84</v>
      </c>
      <c r="D16" s="9" t="s">
        <v>82</v>
      </c>
      <c r="E16" s="9" t="s">
        <v>85</v>
      </c>
      <c r="F16" s="10">
        <v>331250</v>
      </c>
      <c r="G16" s="10">
        <v>374100</v>
      </c>
      <c r="H16" s="10">
        <f t="shared" si="0"/>
        <v>42850</v>
      </c>
      <c r="I16" s="9" t="s">
        <v>79</v>
      </c>
    </row>
    <row r="17" spans="1:9" x14ac:dyDescent="0.3">
      <c r="A17" s="9" t="s">
        <v>102</v>
      </c>
      <c r="B17" s="9" t="s">
        <v>37</v>
      </c>
      <c r="C17" s="9" t="s">
        <v>87</v>
      </c>
      <c r="D17" s="9" t="s">
        <v>88</v>
      </c>
      <c r="E17" s="9" t="s">
        <v>89</v>
      </c>
      <c r="F17" s="10">
        <v>238500</v>
      </c>
      <c r="G17" s="10">
        <v>245100</v>
      </c>
      <c r="H17" s="10">
        <f t="shared" si="0"/>
        <v>6600</v>
      </c>
      <c r="I17" s="9" t="s">
        <v>79</v>
      </c>
    </row>
    <row r="18" spans="1:9" x14ac:dyDescent="0.3">
      <c r="A18" s="9" t="s">
        <v>103</v>
      </c>
      <c r="B18" s="9" t="s">
        <v>38</v>
      </c>
      <c r="C18" s="9" t="s">
        <v>76</v>
      </c>
      <c r="D18" s="9" t="s">
        <v>77</v>
      </c>
      <c r="E18" s="9" t="s">
        <v>78</v>
      </c>
      <c r="F18" s="10">
        <v>364500</v>
      </c>
      <c r="G18" s="10">
        <v>343750</v>
      </c>
      <c r="H18" s="10">
        <f t="shared" si="0"/>
        <v>-20750</v>
      </c>
      <c r="I18" s="9" t="s">
        <v>79</v>
      </c>
    </row>
    <row r="19" spans="1:9" x14ac:dyDescent="0.3">
      <c r="A19" s="9" t="s">
        <v>104</v>
      </c>
      <c r="B19" s="9" t="s">
        <v>38</v>
      </c>
      <c r="C19" s="9" t="s">
        <v>81</v>
      </c>
      <c r="D19" s="9" t="s">
        <v>82</v>
      </c>
      <c r="E19" s="9" t="s">
        <v>78</v>
      </c>
      <c r="F19" s="10">
        <v>405000</v>
      </c>
      <c r="G19" s="10">
        <v>412500</v>
      </c>
      <c r="H19" s="10">
        <f t="shared" si="0"/>
        <v>7500</v>
      </c>
      <c r="I19" s="9" t="s">
        <v>79</v>
      </c>
    </row>
    <row r="20" spans="1:9" x14ac:dyDescent="0.3">
      <c r="A20" s="9" t="s">
        <v>105</v>
      </c>
      <c r="B20" s="9" t="s">
        <v>38</v>
      </c>
      <c r="C20" s="9" t="s">
        <v>84</v>
      </c>
      <c r="D20" s="9" t="s">
        <v>82</v>
      </c>
      <c r="E20" s="9" t="s">
        <v>85</v>
      </c>
      <c r="F20" s="10">
        <v>337500</v>
      </c>
      <c r="G20" s="10">
        <v>371250</v>
      </c>
      <c r="H20" s="10">
        <f t="shared" si="0"/>
        <v>33750</v>
      </c>
      <c r="I20" s="9" t="s">
        <v>79</v>
      </c>
    </row>
    <row r="21" spans="1:9" x14ac:dyDescent="0.3">
      <c r="A21" s="9" t="s">
        <v>106</v>
      </c>
      <c r="B21" s="9" t="s">
        <v>38</v>
      </c>
      <c r="C21" s="9" t="s">
        <v>87</v>
      </c>
      <c r="D21" s="9" t="s">
        <v>88</v>
      </c>
      <c r="E21" s="9" t="s">
        <v>89</v>
      </c>
      <c r="F21" s="10">
        <v>243000</v>
      </c>
      <c r="G21" s="10">
        <v>247500</v>
      </c>
      <c r="H21" s="10">
        <f t="shared" si="0"/>
        <v>4500</v>
      </c>
      <c r="I21" s="9" t="s">
        <v>79</v>
      </c>
    </row>
    <row r="22" spans="1:9" x14ac:dyDescent="0.3">
      <c r="A22" s="9" t="s">
        <v>107</v>
      </c>
      <c r="B22" s="9" t="s">
        <v>39</v>
      </c>
      <c r="C22" s="9" t="s">
        <v>76</v>
      </c>
      <c r="D22" s="9" t="s">
        <v>77</v>
      </c>
      <c r="E22" s="9" t="s">
        <v>78</v>
      </c>
      <c r="F22" s="10">
        <v>371250</v>
      </c>
      <c r="G22" s="10">
        <v>306360</v>
      </c>
      <c r="H22" s="10">
        <f t="shared" si="0"/>
        <v>-64890</v>
      </c>
      <c r="I22" s="9" t="s">
        <v>91</v>
      </c>
    </row>
    <row r="23" spans="1:9" x14ac:dyDescent="0.3">
      <c r="A23" s="9" t="s">
        <v>108</v>
      </c>
      <c r="B23" s="9" t="s">
        <v>39</v>
      </c>
      <c r="C23" s="9" t="s">
        <v>81</v>
      </c>
      <c r="D23" s="9" t="s">
        <v>82</v>
      </c>
      <c r="E23" s="9" t="s">
        <v>78</v>
      </c>
      <c r="F23" s="10">
        <v>412500</v>
      </c>
      <c r="G23" s="10">
        <v>386280</v>
      </c>
      <c r="H23" s="10">
        <f t="shared" si="0"/>
        <v>-26220</v>
      </c>
      <c r="I23" s="9" t="s">
        <v>79</v>
      </c>
    </row>
    <row r="24" spans="1:9" x14ac:dyDescent="0.3">
      <c r="A24" s="9" t="s">
        <v>109</v>
      </c>
      <c r="B24" s="9" t="s">
        <v>39</v>
      </c>
      <c r="C24" s="9" t="s">
        <v>84</v>
      </c>
      <c r="D24" s="9" t="s">
        <v>82</v>
      </c>
      <c r="E24" s="9" t="s">
        <v>85</v>
      </c>
      <c r="F24" s="10">
        <v>343750</v>
      </c>
      <c r="G24" s="10">
        <v>386280</v>
      </c>
      <c r="H24" s="10">
        <f t="shared" si="0"/>
        <v>42530</v>
      </c>
      <c r="I24" s="9" t="s">
        <v>79</v>
      </c>
    </row>
    <row r="25" spans="1:9" x14ac:dyDescent="0.3">
      <c r="A25" s="9" t="s">
        <v>110</v>
      </c>
      <c r="B25" s="9" t="s">
        <v>39</v>
      </c>
      <c r="C25" s="9" t="s">
        <v>87</v>
      </c>
      <c r="D25" s="9" t="s">
        <v>88</v>
      </c>
      <c r="E25" s="9" t="s">
        <v>89</v>
      </c>
      <c r="F25" s="10">
        <v>247500</v>
      </c>
      <c r="G25" s="10">
        <v>253080</v>
      </c>
      <c r="H25" s="10">
        <f t="shared" si="0"/>
        <v>5580</v>
      </c>
      <c r="I25" s="9" t="s">
        <v>79</v>
      </c>
    </row>
  </sheetData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2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0" customWidth="1"/>
    <col min="3" max="4" width="18" customWidth="1"/>
    <col min="5" max="6" width="12" customWidth="1"/>
    <col min="7" max="7" width="14" customWidth="1"/>
    <col min="8" max="8" width="15" customWidth="1"/>
    <col min="9" max="9" width="16" customWidth="1"/>
    <col min="10" max="10" width="44" customWidth="1"/>
  </cols>
  <sheetData>
    <row r="1" spans="1:10" ht="30" customHeight="1" x14ac:dyDescent="0.3">
      <c r="A1" s="7" t="s">
        <v>68</v>
      </c>
      <c r="B1" s="7" t="s">
        <v>26</v>
      </c>
      <c r="C1" s="7" t="s">
        <v>111</v>
      </c>
      <c r="D1" s="7" t="s">
        <v>69</v>
      </c>
      <c r="E1" s="7" t="s">
        <v>71</v>
      </c>
      <c r="F1" s="7" t="s">
        <v>112</v>
      </c>
      <c r="G1" s="7" t="s">
        <v>113</v>
      </c>
      <c r="H1" s="7" t="s">
        <v>114</v>
      </c>
      <c r="I1" s="7" t="s">
        <v>115</v>
      </c>
      <c r="J1" s="7" t="s">
        <v>74</v>
      </c>
    </row>
    <row r="2" spans="1:10" ht="28.8" x14ac:dyDescent="0.3">
      <c r="A2" s="9" t="s">
        <v>116</v>
      </c>
      <c r="B2" s="9" t="s">
        <v>34</v>
      </c>
      <c r="C2" s="9" t="s">
        <v>117</v>
      </c>
      <c r="D2" s="9" t="s">
        <v>76</v>
      </c>
      <c r="E2" s="9" t="s">
        <v>78</v>
      </c>
      <c r="F2" s="9">
        <v>13</v>
      </c>
      <c r="G2" s="10">
        <v>302000</v>
      </c>
      <c r="H2" s="10">
        <v>24160</v>
      </c>
      <c r="I2" s="10">
        <f t="shared" ref="I2:I25" si="0">G2+H2</f>
        <v>326160</v>
      </c>
      <c r="J2" s="9" t="s">
        <v>118</v>
      </c>
    </row>
    <row r="3" spans="1:10" ht="28.8" x14ac:dyDescent="0.3">
      <c r="A3" s="9" t="s">
        <v>119</v>
      </c>
      <c r="B3" s="9" t="s">
        <v>34</v>
      </c>
      <c r="C3" s="9" t="s">
        <v>117</v>
      </c>
      <c r="D3" s="9" t="s">
        <v>81</v>
      </c>
      <c r="E3" s="9" t="s">
        <v>85</v>
      </c>
      <c r="F3" s="9">
        <v>10</v>
      </c>
      <c r="G3" s="10">
        <v>181200</v>
      </c>
      <c r="H3" s="10">
        <v>10872</v>
      </c>
      <c r="I3" s="10">
        <f t="shared" si="0"/>
        <v>192072</v>
      </c>
      <c r="J3" s="9" t="s">
        <v>118</v>
      </c>
    </row>
    <row r="4" spans="1:10" x14ac:dyDescent="0.3">
      <c r="A4" s="9" t="s">
        <v>120</v>
      </c>
      <c r="B4" s="9" t="s">
        <v>34</v>
      </c>
      <c r="C4" s="9" t="s">
        <v>121</v>
      </c>
      <c r="D4" s="9" t="s">
        <v>87</v>
      </c>
      <c r="E4" s="9" t="s">
        <v>89</v>
      </c>
      <c r="F4" s="9">
        <v>20</v>
      </c>
      <c r="G4" s="10">
        <v>166100</v>
      </c>
      <c r="H4" s="10">
        <v>8305</v>
      </c>
      <c r="I4" s="10">
        <f t="shared" si="0"/>
        <v>174405</v>
      </c>
      <c r="J4" s="9" t="s">
        <v>79</v>
      </c>
    </row>
    <row r="5" spans="1:10" x14ac:dyDescent="0.3">
      <c r="A5" s="9" t="s">
        <v>122</v>
      </c>
      <c r="B5" s="9" t="s">
        <v>34</v>
      </c>
      <c r="C5" s="9" t="s">
        <v>123</v>
      </c>
      <c r="D5" s="9" t="s">
        <v>84</v>
      </c>
      <c r="E5" s="9" t="s">
        <v>85</v>
      </c>
      <c r="F5" s="9">
        <v>8</v>
      </c>
      <c r="G5" s="10">
        <v>105700</v>
      </c>
      <c r="H5" s="10">
        <v>4228</v>
      </c>
      <c r="I5" s="10">
        <f t="shared" si="0"/>
        <v>109928</v>
      </c>
      <c r="J5" s="9" t="s">
        <v>79</v>
      </c>
    </row>
    <row r="6" spans="1:10" ht="28.8" x14ac:dyDescent="0.3">
      <c r="A6" s="9" t="s">
        <v>124</v>
      </c>
      <c r="B6" s="9" t="s">
        <v>35</v>
      </c>
      <c r="C6" s="9" t="s">
        <v>117</v>
      </c>
      <c r="D6" s="9" t="s">
        <v>76</v>
      </c>
      <c r="E6" s="9" t="s">
        <v>78</v>
      </c>
      <c r="F6" s="9">
        <v>14</v>
      </c>
      <c r="G6" s="10">
        <v>339700</v>
      </c>
      <c r="H6" s="10">
        <v>27176</v>
      </c>
      <c r="I6" s="10">
        <f t="shared" si="0"/>
        <v>366876</v>
      </c>
      <c r="J6" s="9" t="s">
        <v>118</v>
      </c>
    </row>
    <row r="7" spans="1:10" ht="28.8" x14ac:dyDescent="0.3">
      <c r="A7" s="9" t="s">
        <v>125</v>
      </c>
      <c r="B7" s="9" t="s">
        <v>35</v>
      </c>
      <c r="C7" s="9" t="s">
        <v>117</v>
      </c>
      <c r="D7" s="9" t="s">
        <v>81</v>
      </c>
      <c r="E7" s="9" t="s">
        <v>85</v>
      </c>
      <c r="F7" s="9">
        <v>11</v>
      </c>
      <c r="G7" s="10">
        <v>181700</v>
      </c>
      <c r="H7" s="10">
        <v>10902</v>
      </c>
      <c r="I7" s="10">
        <f t="shared" si="0"/>
        <v>192602</v>
      </c>
      <c r="J7" s="9" t="s">
        <v>118</v>
      </c>
    </row>
    <row r="8" spans="1:10" x14ac:dyDescent="0.3">
      <c r="A8" s="9" t="s">
        <v>126</v>
      </c>
      <c r="B8" s="9" t="s">
        <v>35</v>
      </c>
      <c r="C8" s="9" t="s">
        <v>121</v>
      </c>
      <c r="D8" s="9" t="s">
        <v>87</v>
      </c>
      <c r="E8" s="9" t="s">
        <v>89</v>
      </c>
      <c r="F8" s="9">
        <v>22</v>
      </c>
      <c r="G8" s="10">
        <v>158000</v>
      </c>
      <c r="H8" s="10">
        <v>7900</v>
      </c>
      <c r="I8" s="10">
        <f t="shared" si="0"/>
        <v>165900</v>
      </c>
      <c r="J8" s="9" t="s">
        <v>79</v>
      </c>
    </row>
    <row r="9" spans="1:10" x14ac:dyDescent="0.3">
      <c r="A9" s="9" t="s">
        <v>127</v>
      </c>
      <c r="B9" s="9" t="s">
        <v>35</v>
      </c>
      <c r="C9" s="9" t="s">
        <v>123</v>
      </c>
      <c r="D9" s="9" t="s">
        <v>84</v>
      </c>
      <c r="E9" s="9" t="s">
        <v>85</v>
      </c>
      <c r="F9" s="9">
        <v>9</v>
      </c>
      <c r="G9" s="10">
        <v>110600</v>
      </c>
      <c r="H9" s="10">
        <v>4424</v>
      </c>
      <c r="I9" s="10">
        <f t="shared" si="0"/>
        <v>115024</v>
      </c>
      <c r="J9" s="9" t="s">
        <v>79</v>
      </c>
    </row>
    <row r="10" spans="1:10" ht="28.8" x14ac:dyDescent="0.3">
      <c r="A10" s="9" t="s">
        <v>128</v>
      </c>
      <c r="B10" s="9" t="s">
        <v>36</v>
      </c>
      <c r="C10" s="9" t="s">
        <v>117</v>
      </c>
      <c r="D10" s="9" t="s">
        <v>76</v>
      </c>
      <c r="E10" s="9" t="s">
        <v>78</v>
      </c>
      <c r="F10" s="9">
        <v>15</v>
      </c>
      <c r="G10" s="10">
        <v>373520</v>
      </c>
      <c r="H10" s="10">
        <v>29882</v>
      </c>
      <c r="I10" s="10">
        <f t="shared" si="0"/>
        <v>403402</v>
      </c>
      <c r="J10" s="9" t="s">
        <v>118</v>
      </c>
    </row>
    <row r="11" spans="1:10" ht="28.8" x14ac:dyDescent="0.3">
      <c r="A11" s="9" t="s">
        <v>129</v>
      </c>
      <c r="B11" s="9" t="s">
        <v>36</v>
      </c>
      <c r="C11" s="9" t="s">
        <v>117</v>
      </c>
      <c r="D11" s="9" t="s">
        <v>81</v>
      </c>
      <c r="E11" s="9" t="s">
        <v>85</v>
      </c>
      <c r="F11" s="9">
        <v>12</v>
      </c>
      <c r="G11" s="10">
        <v>178640</v>
      </c>
      <c r="H11" s="10">
        <v>10718</v>
      </c>
      <c r="I11" s="10">
        <f t="shared" si="0"/>
        <v>189358</v>
      </c>
      <c r="J11" s="9" t="s">
        <v>118</v>
      </c>
    </row>
    <row r="12" spans="1:10" x14ac:dyDescent="0.3">
      <c r="A12" s="9" t="s">
        <v>130</v>
      </c>
      <c r="B12" s="9" t="s">
        <v>36</v>
      </c>
      <c r="C12" s="9" t="s">
        <v>121</v>
      </c>
      <c r="D12" s="9" t="s">
        <v>87</v>
      </c>
      <c r="E12" s="9" t="s">
        <v>89</v>
      </c>
      <c r="F12" s="9">
        <v>24</v>
      </c>
      <c r="G12" s="10">
        <v>146160</v>
      </c>
      <c r="H12" s="10">
        <v>7308</v>
      </c>
      <c r="I12" s="10">
        <f t="shared" si="0"/>
        <v>153468</v>
      </c>
      <c r="J12" s="9" t="s">
        <v>79</v>
      </c>
    </row>
    <row r="13" spans="1:10" x14ac:dyDescent="0.3">
      <c r="A13" s="9" t="s">
        <v>131</v>
      </c>
      <c r="B13" s="9" t="s">
        <v>36</v>
      </c>
      <c r="C13" s="9" t="s">
        <v>123</v>
      </c>
      <c r="D13" s="9" t="s">
        <v>84</v>
      </c>
      <c r="E13" s="9" t="s">
        <v>85</v>
      </c>
      <c r="F13" s="9">
        <v>10</v>
      </c>
      <c r="G13" s="10">
        <v>113680</v>
      </c>
      <c r="H13" s="10">
        <v>4547</v>
      </c>
      <c r="I13" s="10">
        <f t="shared" si="0"/>
        <v>118227</v>
      </c>
      <c r="J13" s="9" t="s">
        <v>79</v>
      </c>
    </row>
    <row r="14" spans="1:10" ht="28.8" x14ac:dyDescent="0.3">
      <c r="A14" s="9" t="s">
        <v>132</v>
      </c>
      <c r="B14" s="9" t="s">
        <v>37</v>
      </c>
      <c r="C14" s="9" t="s">
        <v>117</v>
      </c>
      <c r="D14" s="9" t="s">
        <v>76</v>
      </c>
      <c r="E14" s="9" t="s">
        <v>78</v>
      </c>
      <c r="F14" s="9">
        <v>16</v>
      </c>
      <c r="G14" s="10">
        <v>336420</v>
      </c>
      <c r="H14" s="10">
        <v>26914</v>
      </c>
      <c r="I14" s="10">
        <f t="shared" si="0"/>
        <v>363334</v>
      </c>
      <c r="J14" s="9" t="s">
        <v>118</v>
      </c>
    </row>
    <row r="15" spans="1:10" ht="28.8" x14ac:dyDescent="0.3">
      <c r="A15" s="9" t="s">
        <v>133</v>
      </c>
      <c r="B15" s="9" t="s">
        <v>37</v>
      </c>
      <c r="C15" s="9" t="s">
        <v>117</v>
      </c>
      <c r="D15" s="9" t="s">
        <v>81</v>
      </c>
      <c r="E15" s="9" t="s">
        <v>85</v>
      </c>
      <c r="F15" s="9">
        <v>13</v>
      </c>
      <c r="G15" s="10">
        <v>192240</v>
      </c>
      <c r="H15" s="10">
        <v>11534</v>
      </c>
      <c r="I15" s="10">
        <f t="shared" si="0"/>
        <v>203774</v>
      </c>
      <c r="J15" s="9" t="s">
        <v>118</v>
      </c>
    </row>
    <row r="16" spans="1:10" x14ac:dyDescent="0.3">
      <c r="A16" s="9" t="s">
        <v>134</v>
      </c>
      <c r="B16" s="9" t="s">
        <v>37</v>
      </c>
      <c r="C16" s="9" t="s">
        <v>121</v>
      </c>
      <c r="D16" s="9" t="s">
        <v>87</v>
      </c>
      <c r="E16" s="9" t="s">
        <v>89</v>
      </c>
      <c r="F16" s="9">
        <v>26</v>
      </c>
      <c r="G16" s="10">
        <v>160200</v>
      </c>
      <c r="H16" s="10">
        <v>8010</v>
      </c>
      <c r="I16" s="10">
        <f t="shared" si="0"/>
        <v>168210</v>
      </c>
      <c r="J16" s="9" t="s">
        <v>79</v>
      </c>
    </row>
    <row r="17" spans="1:10" x14ac:dyDescent="0.3">
      <c r="A17" s="9" t="s">
        <v>135</v>
      </c>
      <c r="B17" s="9" t="s">
        <v>37</v>
      </c>
      <c r="C17" s="9" t="s">
        <v>123</v>
      </c>
      <c r="D17" s="9" t="s">
        <v>84</v>
      </c>
      <c r="E17" s="9" t="s">
        <v>85</v>
      </c>
      <c r="F17" s="9">
        <v>11</v>
      </c>
      <c r="G17" s="10">
        <v>112140</v>
      </c>
      <c r="H17" s="10">
        <v>4486</v>
      </c>
      <c r="I17" s="10">
        <f t="shared" si="0"/>
        <v>116626</v>
      </c>
      <c r="J17" s="9" t="s">
        <v>79</v>
      </c>
    </row>
    <row r="18" spans="1:10" ht="28.8" x14ac:dyDescent="0.3">
      <c r="A18" s="9" t="s">
        <v>136</v>
      </c>
      <c r="B18" s="9" t="s">
        <v>38</v>
      </c>
      <c r="C18" s="9" t="s">
        <v>117</v>
      </c>
      <c r="D18" s="9" t="s">
        <v>76</v>
      </c>
      <c r="E18" s="9" t="s">
        <v>78</v>
      </c>
      <c r="F18" s="9">
        <v>17</v>
      </c>
      <c r="G18" s="10">
        <v>362560</v>
      </c>
      <c r="H18" s="10">
        <v>29005</v>
      </c>
      <c r="I18" s="10">
        <f t="shared" si="0"/>
        <v>391565</v>
      </c>
      <c r="J18" s="9" t="s">
        <v>118</v>
      </c>
    </row>
    <row r="19" spans="1:10" ht="28.8" x14ac:dyDescent="0.3">
      <c r="A19" s="9" t="s">
        <v>137</v>
      </c>
      <c r="B19" s="9" t="s">
        <v>38</v>
      </c>
      <c r="C19" s="9" t="s">
        <v>117</v>
      </c>
      <c r="D19" s="9" t="s">
        <v>81</v>
      </c>
      <c r="E19" s="9" t="s">
        <v>85</v>
      </c>
      <c r="F19" s="9">
        <v>14</v>
      </c>
      <c r="G19" s="10">
        <v>189520</v>
      </c>
      <c r="H19" s="10">
        <v>11371</v>
      </c>
      <c r="I19" s="10">
        <f t="shared" si="0"/>
        <v>200891</v>
      </c>
      <c r="J19" s="9" t="s">
        <v>118</v>
      </c>
    </row>
    <row r="20" spans="1:10" x14ac:dyDescent="0.3">
      <c r="A20" s="9" t="s">
        <v>138</v>
      </c>
      <c r="B20" s="9" t="s">
        <v>38</v>
      </c>
      <c r="C20" s="9" t="s">
        <v>121</v>
      </c>
      <c r="D20" s="9" t="s">
        <v>87</v>
      </c>
      <c r="E20" s="9" t="s">
        <v>89</v>
      </c>
      <c r="F20" s="9">
        <v>28</v>
      </c>
      <c r="G20" s="10">
        <v>156560</v>
      </c>
      <c r="H20" s="10">
        <v>7828</v>
      </c>
      <c r="I20" s="10">
        <f t="shared" si="0"/>
        <v>164388</v>
      </c>
      <c r="J20" s="9" t="s">
        <v>79</v>
      </c>
    </row>
    <row r="21" spans="1:10" x14ac:dyDescent="0.3">
      <c r="A21" s="9" t="s">
        <v>139</v>
      </c>
      <c r="B21" s="9" t="s">
        <v>38</v>
      </c>
      <c r="C21" s="9" t="s">
        <v>123</v>
      </c>
      <c r="D21" s="9" t="s">
        <v>84</v>
      </c>
      <c r="E21" s="9" t="s">
        <v>85</v>
      </c>
      <c r="F21" s="9">
        <v>12</v>
      </c>
      <c r="G21" s="10">
        <v>115360</v>
      </c>
      <c r="H21" s="10">
        <v>4614</v>
      </c>
      <c r="I21" s="10">
        <f t="shared" si="0"/>
        <v>119974</v>
      </c>
      <c r="J21" s="9" t="s">
        <v>79</v>
      </c>
    </row>
    <row r="22" spans="1:10" ht="28.8" x14ac:dyDescent="0.3">
      <c r="A22" s="9" t="s">
        <v>140</v>
      </c>
      <c r="B22" s="9" t="s">
        <v>39</v>
      </c>
      <c r="C22" s="9" t="s">
        <v>117</v>
      </c>
      <c r="D22" s="9" t="s">
        <v>76</v>
      </c>
      <c r="E22" s="9" t="s">
        <v>78</v>
      </c>
      <c r="F22" s="9">
        <v>18</v>
      </c>
      <c r="G22" s="10">
        <v>420420</v>
      </c>
      <c r="H22" s="10">
        <v>33634</v>
      </c>
      <c r="I22" s="10">
        <f t="shared" si="0"/>
        <v>454054</v>
      </c>
      <c r="J22" s="9" t="s">
        <v>118</v>
      </c>
    </row>
    <row r="23" spans="1:10" ht="28.8" x14ac:dyDescent="0.3">
      <c r="A23" s="9" t="s">
        <v>141</v>
      </c>
      <c r="B23" s="9" t="s">
        <v>39</v>
      </c>
      <c r="C23" s="9" t="s">
        <v>117</v>
      </c>
      <c r="D23" s="9" t="s">
        <v>81</v>
      </c>
      <c r="E23" s="9" t="s">
        <v>85</v>
      </c>
      <c r="F23" s="9">
        <v>15</v>
      </c>
      <c r="G23" s="10">
        <v>180180</v>
      </c>
      <c r="H23" s="10">
        <v>10811</v>
      </c>
      <c r="I23" s="10">
        <f t="shared" si="0"/>
        <v>190991</v>
      </c>
      <c r="J23" s="9" t="s">
        <v>118</v>
      </c>
    </row>
    <row r="24" spans="1:10" x14ac:dyDescent="0.3">
      <c r="A24" s="9" t="s">
        <v>142</v>
      </c>
      <c r="B24" s="9" t="s">
        <v>39</v>
      </c>
      <c r="C24" s="9" t="s">
        <v>121</v>
      </c>
      <c r="D24" s="9" t="s">
        <v>87</v>
      </c>
      <c r="E24" s="9" t="s">
        <v>89</v>
      </c>
      <c r="F24" s="9">
        <v>30</v>
      </c>
      <c r="G24" s="10">
        <v>145860</v>
      </c>
      <c r="H24" s="10">
        <v>7293</v>
      </c>
      <c r="I24" s="10">
        <f t="shared" si="0"/>
        <v>153153</v>
      </c>
      <c r="J24" s="9" t="s">
        <v>79</v>
      </c>
    </row>
    <row r="25" spans="1:10" x14ac:dyDescent="0.3">
      <c r="A25" s="9" t="s">
        <v>143</v>
      </c>
      <c r="B25" s="9" t="s">
        <v>39</v>
      </c>
      <c r="C25" s="9" t="s">
        <v>123</v>
      </c>
      <c r="D25" s="9" t="s">
        <v>84</v>
      </c>
      <c r="E25" s="9" t="s">
        <v>85</v>
      </c>
      <c r="F25" s="9">
        <v>13</v>
      </c>
      <c r="G25" s="10">
        <v>111540</v>
      </c>
      <c r="H25" s="10">
        <v>4462</v>
      </c>
      <c r="I25" s="10">
        <f t="shared" si="0"/>
        <v>116002</v>
      </c>
      <c r="J25" s="9" t="s">
        <v>79</v>
      </c>
    </row>
  </sheetData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2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0" customWidth="1"/>
    <col min="3" max="3" width="18" customWidth="1"/>
    <col min="4" max="4" width="22" customWidth="1"/>
    <col min="5" max="5" width="12" customWidth="1"/>
    <col min="6" max="7" width="15" customWidth="1"/>
    <col min="8" max="8" width="14" customWidth="1"/>
    <col min="9" max="9" width="34" customWidth="1"/>
  </cols>
  <sheetData>
    <row r="1" spans="1:9" ht="30" customHeight="1" x14ac:dyDescent="0.3">
      <c r="A1" s="7" t="s">
        <v>68</v>
      </c>
      <c r="B1" s="7" t="s">
        <v>26</v>
      </c>
      <c r="C1" s="7" t="s">
        <v>144</v>
      </c>
      <c r="D1" s="7" t="s">
        <v>145</v>
      </c>
      <c r="E1" s="7" t="s">
        <v>71</v>
      </c>
      <c r="F1" s="7" t="s">
        <v>146</v>
      </c>
      <c r="G1" s="7" t="s">
        <v>147</v>
      </c>
      <c r="H1" s="7" t="s">
        <v>43</v>
      </c>
      <c r="I1" s="7" t="s">
        <v>74</v>
      </c>
    </row>
    <row r="2" spans="1:9" x14ac:dyDescent="0.3">
      <c r="A2" s="9" t="s">
        <v>148</v>
      </c>
      <c r="B2" s="9" t="s">
        <v>34</v>
      </c>
      <c r="C2" s="9" t="s">
        <v>149</v>
      </c>
      <c r="D2" s="9" t="s">
        <v>150</v>
      </c>
      <c r="E2" s="9" t="s">
        <v>78</v>
      </c>
      <c r="F2" s="10">
        <v>99200</v>
      </c>
      <c r="G2" s="10">
        <v>98580</v>
      </c>
      <c r="H2" s="10">
        <f t="shared" ref="H2:H25" si="0">G2-F2</f>
        <v>-620</v>
      </c>
      <c r="I2" s="9" t="s">
        <v>79</v>
      </c>
    </row>
    <row r="3" spans="1:9" x14ac:dyDescent="0.3">
      <c r="A3" s="9" t="s">
        <v>151</v>
      </c>
      <c r="B3" s="9" t="s">
        <v>34</v>
      </c>
      <c r="C3" s="9" t="s">
        <v>152</v>
      </c>
      <c r="D3" s="9" t="s">
        <v>153</v>
      </c>
      <c r="E3" s="9" t="s">
        <v>154</v>
      </c>
      <c r="F3" s="10">
        <v>86800</v>
      </c>
      <c r="G3" s="10">
        <v>92220</v>
      </c>
      <c r="H3" s="10">
        <f t="shared" si="0"/>
        <v>5420</v>
      </c>
      <c r="I3" s="9" t="s">
        <v>79</v>
      </c>
    </row>
    <row r="4" spans="1:9" x14ac:dyDescent="0.3">
      <c r="A4" s="9" t="s">
        <v>155</v>
      </c>
      <c r="B4" s="9" t="s">
        <v>34</v>
      </c>
      <c r="C4" s="9" t="s">
        <v>156</v>
      </c>
      <c r="D4" s="9" t="s">
        <v>157</v>
      </c>
      <c r="E4" s="9" t="s">
        <v>89</v>
      </c>
      <c r="F4" s="10">
        <v>74400</v>
      </c>
      <c r="G4" s="10">
        <v>73140</v>
      </c>
      <c r="H4" s="10">
        <f t="shared" si="0"/>
        <v>-1260</v>
      </c>
      <c r="I4" s="9" t="s">
        <v>79</v>
      </c>
    </row>
    <row r="5" spans="1:9" x14ac:dyDescent="0.3">
      <c r="A5" s="9" t="s">
        <v>158</v>
      </c>
      <c r="B5" s="9" t="s">
        <v>34</v>
      </c>
      <c r="C5" s="9" t="s">
        <v>159</v>
      </c>
      <c r="D5" s="9" t="s">
        <v>160</v>
      </c>
      <c r="E5" s="9" t="s">
        <v>154</v>
      </c>
      <c r="F5" s="10">
        <v>49600</v>
      </c>
      <c r="G5" s="10">
        <v>54060</v>
      </c>
      <c r="H5" s="10">
        <f t="shared" si="0"/>
        <v>4460</v>
      </c>
      <c r="I5" s="9" t="s">
        <v>79</v>
      </c>
    </row>
    <row r="6" spans="1:9" x14ac:dyDescent="0.3">
      <c r="A6" s="9" t="s">
        <v>161</v>
      </c>
      <c r="B6" s="9" t="s">
        <v>35</v>
      </c>
      <c r="C6" s="9" t="s">
        <v>149</v>
      </c>
      <c r="D6" s="9" t="s">
        <v>150</v>
      </c>
      <c r="E6" s="9" t="s">
        <v>78</v>
      </c>
      <c r="F6" s="10">
        <v>99840</v>
      </c>
      <c r="G6" s="10">
        <v>101990</v>
      </c>
      <c r="H6" s="10">
        <f t="shared" si="0"/>
        <v>2150</v>
      </c>
      <c r="I6" s="9" t="s">
        <v>79</v>
      </c>
    </row>
    <row r="7" spans="1:9" x14ac:dyDescent="0.3">
      <c r="A7" s="9" t="s">
        <v>162</v>
      </c>
      <c r="B7" s="9" t="s">
        <v>35</v>
      </c>
      <c r="C7" s="9" t="s">
        <v>152</v>
      </c>
      <c r="D7" s="9" t="s">
        <v>153</v>
      </c>
      <c r="E7" s="9" t="s">
        <v>154</v>
      </c>
      <c r="F7" s="10">
        <v>87360</v>
      </c>
      <c r="G7" s="10">
        <v>95410</v>
      </c>
      <c r="H7" s="10">
        <f t="shared" si="0"/>
        <v>8050</v>
      </c>
      <c r="I7" s="9" t="s">
        <v>79</v>
      </c>
    </row>
    <row r="8" spans="1:9" x14ac:dyDescent="0.3">
      <c r="A8" s="9" t="s">
        <v>163</v>
      </c>
      <c r="B8" s="9" t="s">
        <v>35</v>
      </c>
      <c r="C8" s="9" t="s">
        <v>156</v>
      </c>
      <c r="D8" s="9" t="s">
        <v>157</v>
      </c>
      <c r="E8" s="9" t="s">
        <v>89</v>
      </c>
      <c r="F8" s="10">
        <v>74880</v>
      </c>
      <c r="G8" s="10">
        <v>75670</v>
      </c>
      <c r="H8" s="10">
        <f t="shared" si="0"/>
        <v>790</v>
      </c>
      <c r="I8" s="9" t="s">
        <v>79</v>
      </c>
    </row>
    <row r="9" spans="1:9" x14ac:dyDescent="0.3">
      <c r="A9" s="9" t="s">
        <v>164</v>
      </c>
      <c r="B9" s="9" t="s">
        <v>35</v>
      </c>
      <c r="C9" s="9" t="s">
        <v>159</v>
      </c>
      <c r="D9" s="9" t="s">
        <v>160</v>
      </c>
      <c r="E9" s="9" t="s">
        <v>154</v>
      </c>
      <c r="F9" s="10">
        <v>49920</v>
      </c>
      <c r="G9" s="10">
        <v>55930</v>
      </c>
      <c r="H9" s="10">
        <f t="shared" si="0"/>
        <v>6010</v>
      </c>
      <c r="I9" s="9" t="s">
        <v>79</v>
      </c>
    </row>
    <row r="10" spans="1:9" x14ac:dyDescent="0.3">
      <c r="A10" s="9" t="s">
        <v>165</v>
      </c>
      <c r="B10" s="9" t="s">
        <v>36</v>
      </c>
      <c r="C10" s="9" t="s">
        <v>149</v>
      </c>
      <c r="D10" s="9" t="s">
        <v>150</v>
      </c>
      <c r="E10" s="9" t="s">
        <v>78</v>
      </c>
      <c r="F10" s="10">
        <v>100800</v>
      </c>
      <c r="G10" s="10">
        <v>104100</v>
      </c>
      <c r="H10" s="10">
        <f t="shared" si="0"/>
        <v>3300</v>
      </c>
      <c r="I10" s="9" t="s">
        <v>79</v>
      </c>
    </row>
    <row r="11" spans="1:9" x14ac:dyDescent="0.3">
      <c r="A11" s="9" t="s">
        <v>166</v>
      </c>
      <c r="B11" s="9" t="s">
        <v>36</v>
      </c>
      <c r="C11" s="9" t="s">
        <v>152</v>
      </c>
      <c r="D11" s="9" t="s">
        <v>153</v>
      </c>
      <c r="E11" s="9" t="s">
        <v>154</v>
      </c>
      <c r="F11" s="10">
        <v>88200</v>
      </c>
      <c r="G11" s="10">
        <v>107570</v>
      </c>
      <c r="H11" s="10">
        <f t="shared" si="0"/>
        <v>19370</v>
      </c>
      <c r="I11" s="9" t="s">
        <v>167</v>
      </c>
    </row>
    <row r="12" spans="1:9" x14ac:dyDescent="0.3">
      <c r="A12" s="9" t="s">
        <v>168</v>
      </c>
      <c r="B12" s="9" t="s">
        <v>36</v>
      </c>
      <c r="C12" s="9" t="s">
        <v>156</v>
      </c>
      <c r="D12" s="9" t="s">
        <v>157</v>
      </c>
      <c r="E12" s="9" t="s">
        <v>89</v>
      </c>
      <c r="F12" s="10">
        <v>75600</v>
      </c>
      <c r="G12" s="10">
        <v>76340</v>
      </c>
      <c r="H12" s="10">
        <f t="shared" si="0"/>
        <v>740</v>
      </c>
      <c r="I12" s="9" t="s">
        <v>79</v>
      </c>
    </row>
    <row r="13" spans="1:9" x14ac:dyDescent="0.3">
      <c r="A13" s="9" t="s">
        <v>169</v>
      </c>
      <c r="B13" s="9" t="s">
        <v>36</v>
      </c>
      <c r="C13" s="9" t="s">
        <v>159</v>
      </c>
      <c r="D13" s="9" t="s">
        <v>160</v>
      </c>
      <c r="E13" s="9" t="s">
        <v>154</v>
      </c>
      <c r="F13" s="10">
        <v>50400</v>
      </c>
      <c r="G13" s="10">
        <v>58990</v>
      </c>
      <c r="H13" s="10">
        <f t="shared" si="0"/>
        <v>8590</v>
      </c>
      <c r="I13" s="9" t="s">
        <v>79</v>
      </c>
    </row>
    <row r="14" spans="1:9" x14ac:dyDescent="0.3">
      <c r="A14" s="9" t="s">
        <v>170</v>
      </c>
      <c r="B14" s="9" t="s">
        <v>37</v>
      </c>
      <c r="C14" s="9" t="s">
        <v>149</v>
      </c>
      <c r="D14" s="9" t="s">
        <v>150</v>
      </c>
      <c r="E14" s="9" t="s">
        <v>78</v>
      </c>
      <c r="F14" s="10">
        <v>101760</v>
      </c>
      <c r="G14" s="10">
        <v>103230</v>
      </c>
      <c r="H14" s="10">
        <f t="shared" si="0"/>
        <v>1470</v>
      </c>
      <c r="I14" s="9" t="s">
        <v>79</v>
      </c>
    </row>
    <row r="15" spans="1:9" x14ac:dyDescent="0.3">
      <c r="A15" s="9" t="s">
        <v>171</v>
      </c>
      <c r="B15" s="9" t="s">
        <v>37</v>
      </c>
      <c r="C15" s="9" t="s">
        <v>152</v>
      </c>
      <c r="D15" s="9" t="s">
        <v>153</v>
      </c>
      <c r="E15" s="9" t="s">
        <v>154</v>
      </c>
      <c r="F15" s="10">
        <v>89040</v>
      </c>
      <c r="G15" s="10">
        <v>96570</v>
      </c>
      <c r="H15" s="10">
        <f t="shared" si="0"/>
        <v>7530</v>
      </c>
      <c r="I15" s="9" t="s">
        <v>79</v>
      </c>
    </row>
    <row r="16" spans="1:9" x14ac:dyDescent="0.3">
      <c r="A16" s="9" t="s">
        <v>172</v>
      </c>
      <c r="B16" s="9" t="s">
        <v>37</v>
      </c>
      <c r="C16" s="9" t="s">
        <v>156</v>
      </c>
      <c r="D16" s="9" t="s">
        <v>157</v>
      </c>
      <c r="E16" s="9" t="s">
        <v>89</v>
      </c>
      <c r="F16" s="10">
        <v>76320</v>
      </c>
      <c r="G16" s="10">
        <v>76590</v>
      </c>
      <c r="H16" s="10">
        <f t="shared" si="0"/>
        <v>270</v>
      </c>
      <c r="I16" s="9" t="s">
        <v>79</v>
      </c>
    </row>
    <row r="17" spans="1:9" x14ac:dyDescent="0.3">
      <c r="A17" s="9" t="s">
        <v>173</v>
      </c>
      <c r="B17" s="9" t="s">
        <v>37</v>
      </c>
      <c r="C17" s="9" t="s">
        <v>159</v>
      </c>
      <c r="D17" s="9" t="s">
        <v>160</v>
      </c>
      <c r="E17" s="9" t="s">
        <v>154</v>
      </c>
      <c r="F17" s="10">
        <v>50880</v>
      </c>
      <c r="G17" s="10">
        <v>56610</v>
      </c>
      <c r="H17" s="10">
        <f t="shared" si="0"/>
        <v>5730</v>
      </c>
      <c r="I17" s="9" t="s">
        <v>79</v>
      </c>
    </row>
    <row r="18" spans="1:9" x14ac:dyDescent="0.3">
      <c r="A18" s="9" t="s">
        <v>174</v>
      </c>
      <c r="B18" s="9" t="s">
        <v>38</v>
      </c>
      <c r="C18" s="9" t="s">
        <v>149</v>
      </c>
      <c r="D18" s="9" t="s">
        <v>150</v>
      </c>
      <c r="E18" s="9" t="s">
        <v>78</v>
      </c>
      <c r="F18" s="10">
        <v>102400</v>
      </c>
      <c r="G18" s="10">
        <v>101060</v>
      </c>
      <c r="H18" s="10">
        <f t="shared" si="0"/>
        <v>-1340</v>
      </c>
      <c r="I18" s="9" t="s">
        <v>79</v>
      </c>
    </row>
    <row r="19" spans="1:9" x14ac:dyDescent="0.3">
      <c r="A19" s="9" t="s">
        <v>175</v>
      </c>
      <c r="B19" s="9" t="s">
        <v>38</v>
      </c>
      <c r="C19" s="9" t="s">
        <v>152</v>
      </c>
      <c r="D19" s="9" t="s">
        <v>153</v>
      </c>
      <c r="E19" s="9" t="s">
        <v>154</v>
      </c>
      <c r="F19" s="10">
        <v>89600</v>
      </c>
      <c r="G19" s="10">
        <v>94540</v>
      </c>
      <c r="H19" s="10">
        <f t="shared" si="0"/>
        <v>4940</v>
      </c>
      <c r="I19" s="9" t="s">
        <v>79</v>
      </c>
    </row>
    <row r="20" spans="1:9" x14ac:dyDescent="0.3">
      <c r="A20" s="9" t="s">
        <v>176</v>
      </c>
      <c r="B20" s="9" t="s">
        <v>38</v>
      </c>
      <c r="C20" s="9" t="s">
        <v>156</v>
      </c>
      <c r="D20" s="9" t="s">
        <v>157</v>
      </c>
      <c r="E20" s="9" t="s">
        <v>89</v>
      </c>
      <c r="F20" s="10">
        <v>76800</v>
      </c>
      <c r="G20" s="10">
        <v>74980</v>
      </c>
      <c r="H20" s="10">
        <f t="shared" si="0"/>
        <v>-1820</v>
      </c>
      <c r="I20" s="9" t="s">
        <v>79</v>
      </c>
    </row>
    <row r="21" spans="1:9" x14ac:dyDescent="0.3">
      <c r="A21" s="9" t="s">
        <v>177</v>
      </c>
      <c r="B21" s="9" t="s">
        <v>38</v>
      </c>
      <c r="C21" s="9" t="s">
        <v>159</v>
      </c>
      <c r="D21" s="9" t="s">
        <v>160</v>
      </c>
      <c r="E21" s="9" t="s">
        <v>154</v>
      </c>
      <c r="F21" s="10">
        <v>51200</v>
      </c>
      <c r="G21" s="10">
        <v>55420</v>
      </c>
      <c r="H21" s="10">
        <f t="shared" si="0"/>
        <v>4220</v>
      </c>
      <c r="I21" s="9" t="s">
        <v>79</v>
      </c>
    </row>
    <row r="22" spans="1:9" x14ac:dyDescent="0.3">
      <c r="A22" s="9" t="s">
        <v>178</v>
      </c>
      <c r="B22" s="9" t="s">
        <v>39</v>
      </c>
      <c r="C22" s="9" t="s">
        <v>149</v>
      </c>
      <c r="D22" s="9" t="s">
        <v>150</v>
      </c>
      <c r="E22" s="9" t="s">
        <v>78</v>
      </c>
      <c r="F22" s="10">
        <v>103040</v>
      </c>
      <c r="G22" s="10">
        <v>108300</v>
      </c>
      <c r="H22" s="10">
        <f t="shared" si="0"/>
        <v>5260</v>
      </c>
      <c r="I22" s="9" t="s">
        <v>79</v>
      </c>
    </row>
    <row r="23" spans="1:9" x14ac:dyDescent="0.3">
      <c r="A23" s="9" t="s">
        <v>179</v>
      </c>
      <c r="B23" s="9" t="s">
        <v>39</v>
      </c>
      <c r="C23" s="9" t="s">
        <v>152</v>
      </c>
      <c r="D23" s="9" t="s">
        <v>153</v>
      </c>
      <c r="E23" s="9" t="s">
        <v>154</v>
      </c>
      <c r="F23" s="10">
        <v>90160</v>
      </c>
      <c r="G23" s="10">
        <v>111910</v>
      </c>
      <c r="H23" s="10">
        <f t="shared" si="0"/>
        <v>21750</v>
      </c>
      <c r="I23" s="9" t="s">
        <v>167</v>
      </c>
    </row>
    <row r="24" spans="1:9" x14ac:dyDescent="0.3">
      <c r="A24" s="9" t="s">
        <v>180</v>
      </c>
      <c r="B24" s="9" t="s">
        <v>39</v>
      </c>
      <c r="C24" s="9" t="s">
        <v>156</v>
      </c>
      <c r="D24" s="9" t="s">
        <v>157</v>
      </c>
      <c r="E24" s="9" t="s">
        <v>89</v>
      </c>
      <c r="F24" s="10">
        <v>77280</v>
      </c>
      <c r="G24" s="10">
        <v>79420</v>
      </c>
      <c r="H24" s="10">
        <f t="shared" si="0"/>
        <v>2140</v>
      </c>
      <c r="I24" s="9" t="s">
        <v>79</v>
      </c>
    </row>
    <row r="25" spans="1:9" x14ac:dyDescent="0.3">
      <c r="A25" s="9" t="s">
        <v>181</v>
      </c>
      <c r="B25" s="9" t="s">
        <v>39</v>
      </c>
      <c r="C25" s="9" t="s">
        <v>159</v>
      </c>
      <c r="D25" s="9" t="s">
        <v>160</v>
      </c>
      <c r="E25" s="9" t="s">
        <v>154</v>
      </c>
      <c r="F25" s="10">
        <v>51520</v>
      </c>
      <c r="G25" s="10">
        <v>61370</v>
      </c>
      <c r="H25" s="10">
        <f t="shared" si="0"/>
        <v>9850</v>
      </c>
      <c r="I25" s="9" t="s">
        <v>79</v>
      </c>
    </row>
  </sheetData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1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20" customWidth="1"/>
    <col min="3" max="4" width="16" customWidth="1"/>
    <col min="5" max="5" width="14" customWidth="1"/>
    <col min="6" max="6" width="12" customWidth="1"/>
    <col min="7" max="7" width="52" customWidth="1"/>
  </cols>
  <sheetData>
    <row r="1" spans="1:7" ht="30" customHeight="1" x14ac:dyDescent="0.3">
      <c r="A1" s="7" t="s">
        <v>26</v>
      </c>
      <c r="B1" s="7" t="s">
        <v>40</v>
      </c>
      <c r="C1" s="7" t="s">
        <v>182</v>
      </c>
      <c r="D1" s="7" t="s">
        <v>183</v>
      </c>
      <c r="E1" s="7" t="s">
        <v>184</v>
      </c>
      <c r="F1" s="7" t="s">
        <v>185</v>
      </c>
      <c r="G1" s="7" t="s">
        <v>186</v>
      </c>
    </row>
    <row r="2" spans="1:7" ht="28.8" x14ac:dyDescent="0.3">
      <c r="A2" s="9" t="s">
        <v>34</v>
      </c>
      <c r="B2" s="9" t="s">
        <v>47</v>
      </c>
      <c r="C2" s="12">
        <f>SUMIFS(PerformanceData[Actual],PerformanceData[Month],A2,PerformanceData[Category],B2)</f>
        <v>1285000</v>
      </c>
      <c r="D2" s="12">
        <f>SUMIFS(PremiumDetail[ActualPremium],PremiumDetail[Month],A2)</f>
        <v>1285000</v>
      </c>
      <c r="E2" s="12">
        <f t="shared" ref="E2:E19" si="0">D2-C2</f>
        <v>0</v>
      </c>
      <c r="F2" s="9" t="str">
        <f t="shared" ref="F2:F19" si="1">IF(ABS(E2)&lt;0.01,"PASS","REVIEW")</f>
        <v>PASS</v>
      </c>
      <c r="G2" s="9" t="s">
        <v>187</v>
      </c>
    </row>
    <row r="3" spans="1:7" ht="28.8" x14ac:dyDescent="0.3">
      <c r="A3" s="9" t="s">
        <v>34</v>
      </c>
      <c r="B3" s="9" t="s">
        <v>50</v>
      </c>
      <c r="C3" s="12">
        <f>SUMIFS(PerformanceData[Actual],PerformanceData[Month],A3,PerformanceData[Category],B3)</f>
        <v>755000</v>
      </c>
      <c r="D3" s="12">
        <f>SUMIFS(ClaimsDetail[PaidAmount],ClaimsDetail[Month],A3)</f>
        <v>755000</v>
      </c>
      <c r="E3" s="12">
        <f t="shared" si="0"/>
        <v>0</v>
      </c>
      <c r="F3" s="9" t="str">
        <f t="shared" si="1"/>
        <v>PASS</v>
      </c>
      <c r="G3" s="9" t="s">
        <v>187</v>
      </c>
    </row>
    <row r="4" spans="1:7" ht="28.8" x14ac:dyDescent="0.3">
      <c r="A4" s="9" t="s">
        <v>34</v>
      </c>
      <c r="B4" s="9" t="s">
        <v>53</v>
      </c>
      <c r="C4" s="12">
        <f>SUMIFS(PerformanceData[Actual],PerformanceData[Month],A4,PerformanceData[Category],B4)</f>
        <v>318000</v>
      </c>
      <c r="D4" s="12">
        <f>SUMIFS(ExpenseDetail[ActualExpense],ExpenseDetail[Month],A4)</f>
        <v>318000</v>
      </c>
      <c r="E4" s="12">
        <f t="shared" si="0"/>
        <v>0</v>
      </c>
      <c r="F4" s="9" t="str">
        <f t="shared" si="1"/>
        <v>PASS</v>
      </c>
      <c r="G4" s="9" t="s">
        <v>187</v>
      </c>
    </row>
    <row r="5" spans="1:7" ht="28.8" x14ac:dyDescent="0.3">
      <c r="A5" s="9" t="s">
        <v>35</v>
      </c>
      <c r="B5" s="9" t="s">
        <v>47</v>
      </c>
      <c r="C5" s="12">
        <f>SUMIFS(PerformanceData[Actual],PerformanceData[Month],A5,PerformanceData[Category],B5)</f>
        <v>1260000</v>
      </c>
      <c r="D5" s="12">
        <f>SUMIFS(PremiumDetail[ActualPremium],PremiumDetail[Month],A5)</f>
        <v>1260000</v>
      </c>
      <c r="E5" s="12">
        <f t="shared" si="0"/>
        <v>0</v>
      </c>
      <c r="F5" s="9" t="str">
        <f t="shared" si="1"/>
        <v>PASS</v>
      </c>
      <c r="G5" s="9" t="s">
        <v>187</v>
      </c>
    </row>
    <row r="6" spans="1:7" ht="28.8" x14ac:dyDescent="0.3">
      <c r="A6" s="9" t="s">
        <v>35</v>
      </c>
      <c r="B6" s="9" t="s">
        <v>50</v>
      </c>
      <c r="C6" s="12">
        <f>SUMIFS(PerformanceData[Actual],PerformanceData[Month],A6,PerformanceData[Category],B6)</f>
        <v>790000</v>
      </c>
      <c r="D6" s="12">
        <f>SUMIFS(ClaimsDetail[PaidAmount],ClaimsDetail[Month],A6)</f>
        <v>790000</v>
      </c>
      <c r="E6" s="12">
        <f t="shared" si="0"/>
        <v>0</v>
      </c>
      <c r="F6" s="9" t="str">
        <f t="shared" si="1"/>
        <v>PASS</v>
      </c>
      <c r="G6" s="9" t="s">
        <v>187</v>
      </c>
    </row>
    <row r="7" spans="1:7" ht="28.8" x14ac:dyDescent="0.3">
      <c r="A7" s="9" t="s">
        <v>35</v>
      </c>
      <c r="B7" s="9" t="s">
        <v>53</v>
      </c>
      <c r="C7" s="12">
        <f>SUMIFS(PerformanceData[Actual],PerformanceData[Month],A7,PerformanceData[Category],B7)</f>
        <v>329000</v>
      </c>
      <c r="D7" s="12">
        <f>SUMIFS(ExpenseDetail[ActualExpense],ExpenseDetail[Month],A7)</f>
        <v>329000</v>
      </c>
      <c r="E7" s="12">
        <f t="shared" si="0"/>
        <v>0</v>
      </c>
      <c r="F7" s="9" t="str">
        <f t="shared" si="1"/>
        <v>PASS</v>
      </c>
      <c r="G7" s="9" t="s">
        <v>187</v>
      </c>
    </row>
    <row r="8" spans="1:7" ht="28.8" x14ac:dyDescent="0.3">
      <c r="A8" s="9" t="s">
        <v>36</v>
      </c>
      <c r="B8" s="9" t="s">
        <v>47</v>
      </c>
      <c r="C8" s="12">
        <f>SUMIFS(PerformanceData[Actual],PerformanceData[Month],A8,PerformanceData[Category],B8)</f>
        <v>1318000</v>
      </c>
      <c r="D8" s="12">
        <f>SUMIFS(PremiumDetail[ActualPremium],PremiumDetail[Month],A8)</f>
        <v>1318000</v>
      </c>
      <c r="E8" s="12">
        <f t="shared" si="0"/>
        <v>0</v>
      </c>
      <c r="F8" s="9" t="str">
        <f t="shared" si="1"/>
        <v>PASS</v>
      </c>
      <c r="G8" s="9" t="s">
        <v>187</v>
      </c>
    </row>
    <row r="9" spans="1:7" ht="28.8" x14ac:dyDescent="0.3">
      <c r="A9" s="9" t="s">
        <v>36</v>
      </c>
      <c r="B9" s="9" t="s">
        <v>50</v>
      </c>
      <c r="C9" s="12">
        <f>SUMIFS(PerformanceData[Actual],PerformanceData[Month],A9,PerformanceData[Category],B9)</f>
        <v>812000</v>
      </c>
      <c r="D9" s="12">
        <f>SUMIFS(ClaimsDetail[PaidAmount],ClaimsDetail[Month],A9)</f>
        <v>812000</v>
      </c>
      <c r="E9" s="12">
        <f t="shared" si="0"/>
        <v>0</v>
      </c>
      <c r="F9" s="9" t="str">
        <f t="shared" si="1"/>
        <v>PASS</v>
      </c>
      <c r="G9" s="9" t="s">
        <v>187</v>
      </c>
    </row>
    <row r="10" spans="1:7" ht="28.8" x14ac:dyDescent="0.3">
      <c r="A10" s="9" t="s">
        <v>36</v>
      </c>
      <c r="B10" s="9" t="s">
        <v>53</v>
      </c>
      <c r="C10" s="12">
        <f>SUMIFS(PerformanceData[Actual],PerformanceData[Month],A10,PerformanceData[Category],B10)</f>
        <v>347000</v>
      </c>
      <c r="D10" s="12">
        <f>SUMIFS(ExpenseDetail[ActualExpense],ExpenseDetail[Month],A10)</f>
        <v>347000</v>
      </c>
      <c r="E10" s="12">
        <f t="shared" si="0"/>
        <v>0</v>
      </c>
      <c r="F10" s="9" t="str">
        <f t="shared" si="1"/>
        <v>PASS</v>
      </c>
      <c r="G10" s="9" t="s">
        <v>187</v>
      </c>
    </row>
    <row r="11" spans="1:7" ht="28.8" x14ac:dyDescent="0.3">
      <c r="A11" s="9" t="s">
        <v>37</v>
      </c>
      <c r="B11" s="9" t="s">
        <v>47</v>
      </c>
      <c r="C11" s="12">
        <f>SUMIFS(PerformanceData[Actual],PerformanceData[Month],A11,PerformanceData[Category],B11)</f>
        <v>1290000</v>
      </c>
      <c r="D11" s="12">
        <f>SUMIFS(PremiumDetail[ActualPremium],PremiumDetail[Month],A11)</f>
        <v>1290000</v>
      </c>
      <c r="E11" s="12">
        <f t="shared" si="0"/>
        <v>0</v>
      </c>
      <c r="F11" s="9" t="str">
        <f t="shared" si="1"/>
        <v>PASS</v>
      </c>
      <c r="G11" s="9" t="s">
        <v>187</v>
      </c>
    </row>
    <row r="12" spans="1:7" ht="28.8" x14ac:dyDescent="0.3">
      <c r="A12" s="9" t="s">
        <v>37</v>
      </c>
      <c r="B12" s="9" t="s">
        <v>50</v>
      </c>
      <c r="C12" s="12">
        <f>SUMIFS(PerformanceData[Actual],PerformanceData[Month],A12,PerformanceData[Category],B12)</f>
        <v>801000</v>
      </c>
      <c r="D12" s="12">
        <f>SUMIFS(ClaimsDetail[PaidAmount],ClaimsDetail[Month],A12)</f>
        <v>801000</v>
      </c>
      <c r="E12" s="12">
        <f t="shared" si="0"/>
        <v>0</v>
      </c>
      <c r="F12" s="9" t="str">
        <f t="shared" si="1"/>
        <v>PASS</v>
      </c>
      <c r="G12" s="9" t="s">
        <v>187</v>
      </c>
    </row>
    <row r="13" spans="1:7" ht="28.8" x14ac:dyDescent="0.3">
      <c r="A13" s="9" t="s">
        <v>37</v>
      </c>
      <c r="B13" s="9" t="s">
        <v>53</v>
      </c>
      <c r="C13" s="12">
        <f>SUMIFS(PerformanceData[Actual],PerformanceData[Month],A13,PerformanceData[Category],B13)</f>
        <v>333000</v>
      </c>
      <c r="D13" s="12">
        <f>SUMIFS(ExpenseDetail[ActualExpense],ExpenseDetail[Month],A13)</f>
        <v>333000</v>
      </c>
      <c r="E13" s="12">
        <f t="shared" si="0"/>
        <v>0</v>
      </c>
      <c r="F13" s="9" t="str">
        <f t="shared" si="1"/>
        <v>PASS</v>
      </c>
      <c r="G13" s="9" t="s">
        <v>187</v>
      </c>
    </row>
    <row r="14" spans="1:7" ht="28.8" x14ac:dyDescent="0.3">
      <c r="A14" s="9" t="s">
        <v>38</v>
      </c>
      <c r="B14" s="9" t="s">
        <v>47</v>
      </c>
      <c r="C14" s="12">
        <f>SUMIFS(PerformanceData[Actual],PerformanceData[Month],A14,PerformanceData[Category],B14)</f>
        <v>1375000</v>
      </c>
      <c r="D14" s="12">
        <f>SUMIFS(PremiumDetail[ActualPremium],PremiumDetail[Month],A14)</f>
        <v>1375000</v>
      </c>
      <c r="E14" s="12">
        <f t="shared" si="0"/>
        <v>0</v>
      </c>
      <c r="F14" s="9" t="str">
        <f t="shared" si="1"/>
        <v>PASS</v>
      </c>
      <c r="G14" s="9" t="s">
        <v>187</v>
      </c>
    </row>
    <row r="15" spans="1:7" ht="28.8" x14ac:dyDescent="0.3">
      <c r="A15" s="9" t="s">
        <v>38</v>
      </c>
      <c r="B15" s="9" t="s">
        <v>50</v>
      </c>
      <c r="C15" s="12">
        <f>SUMIFS(PerformanceData[Actual],PerformanceData[Month],A15,PerformanceData[Category],B15)</f>
        <v>824000</v>
      </c>
      <c r="D15" s="12">
        <f>SUMIFS(ClaimsDetail[PaidAmount],ClaimsDetail[Month],A15)</f>
        <v>824000</v>
      </c>
      <c r="E15" s="12">
        <f t="shared" si="0"/>
        <v>0</v>
      </c>
      <c r="F15" s="9" t="str">
        <f t="shared" si="1"/>
        <v>PASS</v>
      </c>
      <c r="G15" s="9" t="s">
        <v>187</v>
      </c>
    </row>
    <row r="16" spans="1:7" ht="28.8" x14ac:dyDescent="0.3">
      <c r="A16" s="9" t="s">
        <v>38</v>
      </c>
      <c r="B16" s="9" t="s">
        <v>53</v>
      </c>
      <c r="C16" s="12">
        <f>SUMIFS(PerformanceData[Actual],PerformanceData[Month],A16,PerformanceData[Category],B16)</f>
        <v>326000</v>
      </c>
      <c r="D16" s="12">
        <f>SUMIFS(ExpenseDetail[ActualExpense],ExpenseDetail[Month],A16)</f>
        <v>326000</v>
      </c>
      <c r="E16" s="12">
        <f t="shared" si="0"/>
        <v>0</v>
      </c>
      <c r="F16" s="9" t="str">
        <f t="shared" si="1"/>
        <v>PASS</v>
      </c>
      <c r="G16" s="9" t="s">
        <v>187</v>
      </c>
    </row>
    <row r="17" spans="1:7" ht="28.8" x14ac:dyDescent="0.3">
      <c r="A17" s="9" t="s">
        <v>39</v>
      </c>
      <c r="B17" s="9" t="s">
        <v>47</v>
      </c>
      <c r="C17" s="12">
        <f>SUMIFS(PerformanceData[Actual],PerformanceData[Month],A17,PerformanceData[Category],B17)</f>
        <v>1332000</v>
      </c>
      <c r="D17" s="12">
        <f>SUMIFS(PremiumDetail[ActualPremium],PremiumDetail[Month],A17)</f>
        <v>1332000</v>
      </c>
      <c r="E17" s="12">
        <f t="shared" si="0"/>
        <v>0</v>
      </c>
      <c r="F17" s="9" t="str">
        <f t="shared" si="1"/>
        <v>PASS</v>
      </c>
      <c r="G17" s="9" t="s">
        <v>187</v>
      </c>
    </row>
    <row r="18" spans="1:7" ht="28.8" x14ac:dyDescent="0.3">
      <c r="A18" s="9" t="s">
        <v>39</v>
      </c>
      <c r="B18" s="9" t="s">
        <v>50</v>
      </c>
      <c r="C18" s="12">
        <f>SUMIFS(PerformanceData[Actual],PerformanceData[Month],A18,PerformanceData[Category],B18)</f>
        <v>858000</v>
      </c>
      <c r="D18" s="12">
        <f>SUMIFS(ClaimsDetail[PaidAmount],ClaimsDetail[Month],A18)</f>
        <v>858000</v>
      </c>
      <c r="E18" s="12">
        <f t="shared" si="0"/>
        <v>0</v>
      </c>
      <c r="F18" s="9" t="str">
        <f t="shared" si="1"/>
        <v>PASS</v>
      </c>
      <c r="G18" s="9" t="s">
        <v>187</v>
      </c>
    </row>
    <row r="19" spans="1:7" ht="28.8" x14ac:dyDescent="0.3">
      <c r="A19" s="9" t="s">
        <v>39</v>
      </c>
      <c r="B19" s="9" t="s">
        <v>53</v>
      </c>
      <c r="C19" s="12">
        <f>SUMIFS(PerformanceData[Actual],PerformanceData[Month],A19,PerformanceData[Category],B19)</f>
        <v>361000</v>
      </c>
      <c r="D19" s="12">
        <f>SUMIFS(ExpenseDetail[ActualExpense],ExpenseDetail[Month],A19)</f>
        <v>361000</v>
      </c>
      <c r="E19" s="12">
        <f t="shared" si="0"/>
        <v>0</v>
      </c>
      <c r="F19" s="9" t="str">
        <f t="shared" si="1"/>
        <v>PASS</v>
      </c>
      <c r="G19" s="9" t="s">
        <v>187</v>
      </c>
    </row>
  </sheetData>
  <conditionalFormatting sqref="F2:F19">
    <cfRule type="expression" dxfId="1" priority="1">
      <formula>F2="PASS"</formula>
    </cfRule>
    <cfRule type="expression" dxfId="0" priority="2">
      <formula>F2="REVIEW"</formula>
    </cfRule>
  </conditionalFormatting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9"/>
  <sheetViews>
    <sheetView showGridLines="0" workbookViewId="0">
      <pane ySplit="6" topLeftCell="A7" activePane="bottomLeft" state="frozen"/>
      <selection pane="bottomLeft"/>
    </sheetView>
  </sheetViews>
  <sheetFormatPr defaultRowHeight="14.4" x14ac:dyDescent="0.3"/>
  <cols>
    <col min="1" max="1" width="15" customWidth="1"/>
    <col min="2" max="4" width="16" customWidth="1"/>
    <col min="5" max="7" width="18" customWidth="1"/>
    <col min="8" max="8" width="14" customWidth="1"/>
    <col min="9" max="9" width="22" customWidth="1"/>
    <col min="10" max="10" width="48" customWidth="1"/>
  </cols>
  <sheetData>
    <row r="1" spans="1:10" ht="23.4" x14ac:dyDescent="0.45">
      <c r="A1" s="18" t="s">
        <v>188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">
      <c r="A2" s="19" t="s">
        <v>189</v>
      </c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3">
      <c r="B3" s="13" t="s">
        <v>190</v>
      </c>
      <c r="C3" s="13" t="s">
        <v>50</v>
      </c>
      <c r="D3" s="13" t="s">
        <v>53</v>
      </c>
    </row>
    <row r="4" spans="1:10" x14ac:dyDescent="0.3">
      <c r="A4" t="s">
        <v>191</v>
      </c>
      <c r="B4" s="14">
        <f>SUMIFS(PerformanceData[Actual],PerformanceData[Month],"Jun",PerformanceData[Category],"Premium Revenue")</f>
        <v>1332000</v>
      </c>
      <c r="C4" s="14">
        <f>SUMIFS(PerformanceData[Actual],PerformanceData[Month],"Jun",PerformanceData[Category],"Paid Claims")</f>
        <v>858000</v>
      </c>
      <c r="D4" s="14">
        <f>SUMIFS(PerformanceData[Actual],PerformanceData[Month],"Jun",PerformanceData[Category],"Operating Expense")</f>
        <v>361000</v>
      </c>
    </row>
    <row r="6" spans="1:10" ht="30" customHeight="1" x14ac:dyDescent="0.3">
      <c r="A6" s="7" t="s">
        <v>2</v>
      </c>
      <c r="B6" s="7" t="s">
        <v>192</v>
      </c>
      <c r="C6" s="7" t="s">
        <v>193</v>
      </c>
      <c r="D6" s="7" t="s">
        <v>194</v>
      </c>
      <c r="E6" s="7" t="s">
        <v>195</v>
      </c>
      <c r="F6" s="7" t="s">
        <v>196</v>
      </c>
      <c r="G6" s="7" t="s">
        <v>197</v>
      </c>
      <c r="H6" s="7" t="s">
        <v>198</v>
      </c>
      <c r="I6" s="7" t="s">
        <v>199</v>
      </c>
      <c r="J6" s="7" t="s">
        <v>200</v>
      </c>
    </row>
    <row r="7" spans="1:10" ht="28.8" x14ac:dyDescent="0.3">
      <c r="A7" s="9" t="s">
        <v>201</v>
      </c>
      <c r="B7" s="15">
        <v>0.02</v>
      </c>
      <c r="C7" s="15">
        <v>-0.03</v>
      </c>
      <c r="D7" s="15">
        <v>0.01</v>
      </c>
      <c r="E7" s="10">
        <f>$B$4*(1+B7)</f>
        <v>1358640</v>
      </c>
      <c r="F7" s="10">
        <f>$C$4*(1+C7)</f>
        <v>832260</v>
      </c>
      <c r="G7" s="10">
        <f>$D$4*(1+D7)</f>
        <v>364610</v>
      </c>
      <c r="H7" s="11">
        <f>IF(E7=0,0,F7/E7)</f>
        <v>0.61256845080374489</v>
      </c>
      <c r="I7" s="10">
        <f>E7-F7-G7</f>
        <v>161770</v>
      </c>
      <c r="J7" s="9" t="s">
        <v>202</v>
      </c>
    </row>
    <row r="8" spans="1:10" ht="28.8" x14ac:dyDescent="0.3">
      <c r="A8" s="9" t="s">
        <v>203</v>
      </c>
      <c r="B8" s="15">
        <v>0.05</v>
      </c>
      <c r="C8" s="15">
        <v>-0.06</v>
      </c>
      <c r="D8" s="15">
        <v>-0.01</v>
      </c>
      <c r="E8" s="10">
        <f>$B$4*(1+B8)</f>
        <v>1398600</v>
      </c>
      <c r="F8" s="10">
        <f>$C$4*(1+C8)</f>
        <v>806520</v>
      </c>
      <c r="G8" s="10">
        <f>$D$4*(1+D8)</f>
        <v>357390</v>
      </c>
      <c r="H8" s="11">
        <f>IF(E8=0,0,F8/E8)</f>
        <v>0.57666237666237663</v>
      </c>
      <c r="I8" s="10">
        <f>E8-F8-G8</f>
        <v>234690</v>
      </c>
      <c r="J8" s="9" t="s">
        <v>202</v>
      </c>
    </row>
    <row r="9" spans="1:10" ht="28.8" x14ac:dyDescent="0.3">
      <c r="A9" s="9" t="s">
        <v>204</v>
      </c>
      <c r="B9" s="15">
        <v>-0.03</v>
      </c>
      <c r="C9" s="15">
        <v>0.08</v>
      </c>
      <c r="D9" s="15">
        <v>0.06</v>
      </c>
      <c r="E9" s="10">
        <f>$B$4*(1+B9)</f>
        <v>1292040</v>
      </c>
      <c r="F9" s="10">
        <f>$C$4*(1+C9)</f>
        <v>926640.00000000012</v>
      </c>
      <c r="G9" s="10">
        <f>$D$4*(1+D9)</f>
        <v>382660</v>
      </c>
      <c r="H9" s="11">
        <f>IF(E9=0,0,F9/E9)</f>
        <v>0.71719141822234611</v>
      </c>
      <c r="I9" s="10">
        <f>E9-F9-G9</f>
        <v>-17260.000000000116</v>
      </c>
      <c r="J9" s="9" t="s">
        <v>202</v>
      </c>
    </row>
  </sheetData>
  <mergeCells count="2">
    <mergeCell ref="A1:J1"/>
    <mergeCell ref="A2:J2"/>
  </mergeCells>
  <dataValidations count="1">
    <dataValidation type="decimal" errorTitle="Assumption outside allowed range" error="Enter a decimal between -0.5 and 0.5." sqref="B7:D9" xr:uid="{00000000-0002-0000-0800-000000000000}">
      <formula1>-0.5</formula1>
      <formula2>0.5</formula2>
    </dataValidation>
  </dataValidations>
  <printOptions horizontalCentered="1"/>
  <pageMargins left="0.25" right="0.25" top="0.4" bottom="0.4" header="0.5" footer="0.5"/>
  <pageSetup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88" customWidth="1"/>
    <col min="3" max="3" width="48" customWidth="1"/>
  </cols>
  <sheetData>
    <row r="1" spans="1:3" ht="30" customHeight="1" x14ac:dyDescent="0.3">
      <c r="A1" s="7" t="s">
        <v>205</v>
      </c>
      <c r="B1" s="7" t="s">
        <v>206</v>
      </c>
      <c r="C1" s="7" t="s">
        <v>207</v>
      </c>
    </row>
    <row r="2" spans="1:3" ht="58.05" customHeight="1" x14ac:dyDescent="0.3">
      <c r="A2" s="9" t="s">
        <v>208</v>
      </c>
      <c r="B2" s="9" t="s">
        <v>209</v>
      </c>
      <c r="C2" s="9" t="s">
        <v>210</v>
      </c>
    </row>
    <row r="3" spans="1:3" ht="58.05" customHeight="1" x14ac:dyDescent="0.3">
      <c r="A3" s="9" t="s">
        <v>211</v>
      </c>
      <c r="B3" s="9" t="s">
        <v>212</v>
      </c>
      <c r="C3" s="9" t="s">
        <v>213</v>
      </c>
    </row>
    <row r="4" spans="1:3" ht="58.05" customHeight="1" x14ac:dyDescent="0.3">
      <c r="A4" s="9" t="s">
        <v>214</v>
      </c>
      <c r="B4" s="9" t="s">
        <v>215</v>
      </c>
      <c r="C4" s="9" t="s">
        <v>216</v>
      </c>
    </row>
    <row r="5" spans="1:3" ht="58.05" customHeight="1" x14ac:dyDescent="0.3">
      <c r="A5" s="9" t="s">
        <v>217</v>
      </c>
      <c r="B5" s="9" t="s">
        <v>218</v>
      </c>
      <c r="C5" s="9" t="s">
        <v>219</v>
      </c>
    </row>
    <row r="6" spans="1:3" ht="58.05" customHeight="1" x14ac:dyDescent="0.3">
      <c r="A6" s="9" t="s">
        <v>220</v>
      </c>
      <c r="B6" s="9" t="s">
        <v>221</v>
      </c>
      <c r="C6" s="9" t="s">
        <v>222</v>
      </c>
    </row>
    <row r="7" spans="1:3" ht="58.05" customHeight="1" x14ac:dyDescent="0.3">
      <c r="A7" s="9" t="s">
        <v>223</v>
      </c>
      <c r="B7" s="9" t="s">
        <v>224</v>
      </c>
      <c r="C7" s="9" t="s">
        <v>225</v>
      </c>
    </row>
  </sheetData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2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22" customWidth="1"/>
    <col min="3" max="3" width="48" customWidth="1"/>
    <col min="4" max="4" width="60" customWidth="1"/>
  </cols>
  <sheetData>
    <row r="1" spans="1:4" ht="30" customHeight="1" x14ac:dyDescent="0.3">
      <c r="A1" s="7" t="s">
        <v>226</v>
      </c>
      <c r="B1" s="7" t="s">
        <v>227</v>
      </c>
      <c r="C1" s="7" t="s">
        <v>228</v>
      </c>
      <c r="D1" s="7" t="s">
        <v>229</v>
      </c>
    </row>
    <row r="2" spans="1:4" ht="40.049999999999997" customHeight="1" x14ac:dyDescent="0.3">
      <c r="A2" s="9" t="s">
        <v>230</v>
      </c>
      <c r="B2" s="9" t="s">
        <v>26</v>
      </c>
      <c r="C2" s="9" t="s">
        <v>231</v>
      </c>
      <c r="D2" s="9" t="s">
        <v>232</v>
      </c>
    </row>
    <row r="3" spans="1:4" ht="40.049999999999997" customHeight="1" x14ac:dyDescent="0.3">
      <c r="A3" s="9" t="s">
        <v>230</v>
      </c>
      <c r="B3" s="9" t="s">
        <v>40</v>
      </c>
      <c r="C3" s="9" t="s">
        <v>233</v>
      </c>
      <c r="D3" s="9" t="s">
        <v>234</v>
      </c>
    </row>
    <row r="4" spans="1:4" ht="40.049999999999997" customHeight="1" x14ac:dyDescent="0.3">
      <c r="A4" s="9" t="s">
        <v>230</v>
      </c>
      <c r="B4" s="9" t="s">
        <v>41</v>
      </c>
      <c r="C4" s="9" t="s">
        <v>235</v>
      </c>
      <c r="D4" s="9" t="s">
        <v>236</v>
      </c>
    </row>
    <row r="5" spans="1:4" ht="40.049999999999997" customHeight="1" x14ac:dyDescent="0.3">
      <c r="A5" s="9" t="s">
        <v>230</v>
      </c>
      <c r="B5" s="9" t="s">
        <v>42</v>
      </c>
      <c r="C5" s="9" t="s">
        <v>237</v>
      </c>
      <c r="D5" s="9" t="s">
        <v>238</v>
      </c>
    </row>
    <row r="6" spans="1:4" ht="40.049999999999997" customHeight="1" x14ac:dyDescent="0.3">
      <c r="A6" s="9" t="s">
        <v>230</v>
      </c>
      <c r="B6" s="9" t="s">
        <v>43</v>
      </c>
      <c r="C6" s="9" t="s">
        <v>239</v>
      </c>
      <c r="D6" s="9" t="s">
        <v>240</v>
      </c>
    </row>
    <row r="7" spans="1:4" ht="40.049999999999997" customHeight="1" x14ac:dyDescent="0.3">
      <c r="A7" s="9" t="s">
        <v>230</v>
      </c>
      <c r="B7" s="9" t="s">
        <v>44</v>
      </c>
      <c r="C7" s="9" t="s">
        <v>241</v>
      </c>
      <c r="D7" s="9" t="s">
        <v>242</v>
      </c>
    </row>
    <row r="8" spans="1:4" ht="40.049999999999997" customHeight="1" x14ac:dyDescent="0.3">
      <c r="A8" s="9" t="s">
        <v>230</v>
      </c>
      <c r="B8" s="9" t="s">
        <v>8</v>
      </c>
      <c r="C8" s="9" t="s">
        <v>243</v>
      </c>
      <c r="D8" s="9" t="s">
        <v>244</v>
      </c>
    </row>
    <row r="9" spans="1:4" ht="40.049999999999997" customHeight="1" x14ac:dyDescent="0.3">
      <c r="A9" s="9" t="s">
        <v>230</v>
      </c>
      <c r="B9" s="9" t="s">
        <v>45</v>
      </c>
      <c r="C9" s="9" t="s">
        <v>245</v>
      </c>
      <c r="D9" s="9" t="s">
        <v>246</v>
      </c>
    </row>
    <row r="10" spans="1:4" ht="40.049999999999997" customHeight="1" x14ac:dyDescent="0.3">
      <c r="A10" s="9" t="s">
        <v>230</v>
      </c>
      <c r="B10" s="9" t="s">
        <v>46</v>
      </c>
      <c r="C10" s="9" t="s">
        <v>247</v>
      </c>
      <c r="D10" s="9" t="s">
        <v>248</v>
      </c>
    </row>
    <row r="11" spans="1:4" ht="40.049999999999997" customHeight="1" x14ac:dyDescent="0.3">
      <c r="A11" s="9" t="s">
        <v>249</v>
      </c>
      <c r="B11" s="9" t="s">
        <v>69</v>
      </c>
      <c r="C11" s="9" t="s">
        <v>250</v>
      </c>
      <c r="D11" s="9" t="s">
        <v>251</v>
      </c>
    </row>
    <row r="12" spans="1:4" ht="40.049999999999997" customHeight="1" x14ac:dyDescent="0.3">
      <c r="A12" s="9" t="s">
        <v>249</v>
      </c>
      <c r="B12" s="9" t="s">
        <v>70</v>
      </c>
      <c r="C12" s="9" t="s">
        <v>252</v>
      </c>
      <c r="D12" s="9" t="s">
        <v>253</v>
      </c>
    </row>
    <row r="13" spans="1:4" ht="40.049999999999997" customHeight="1" x14ac:dyDescent="0.3">
      <c r="A13" s="9" t="s">
        <v>249</v>
      </c>
      <c r="B13" s="9" t="s">
        <v>73</v>
      </c>
      <c r="C13" s="9" t="s">
        <v>254</v>
      </c>
      <c r="D13" s="9" t="s">
        <v>255</v>
      </c>
    </row>
    <row r="14" spans="1:4" ht="40.049999999999997" customHeight="1" x14ac:dyDescent="0.3">
      <c r="A14" s="9" t="s">
        <v>256</v>
      </c>
      <c r="B14" s="9" t="s">
        <v>111</v>
      </c>
      <c r="C14" s="9" t="s">
        <v>257</v>
      </c>
      <c r="D14" s="9" t="s">
        <v>258</v>
      </c>
    </row>
    <row r="15" spans="1:4" ht="40.049999999999997" customHeight="1" x14ac:dyDescent="0.3">
      <c r="A15" s="9" t="s">
        <v>256</v>
      </c>
      <c r="B15" s="9" t="s">
        <v>112</v>
      </c>
      <c r="C15" s="9" t="s">
        <v>259</v>
      </c>
      <c r="D15" s="9" t="s">
        <v>260</v>
      </c>
    </row>
    <row r="16" spans="1:4" ht="40.049999999999997" customHeight="1" x14ac:dyDescent="0.3">
      <c r="A16" s="9" t="s">
        <v>256</v>
      </c>
      <c r="B16" s="9" t="s">
        <v>113</v>
      </c>
      <c r="C16" s="9" t="s">
        <v>261</v>
      </c>
      <c r="D16" s="9" t="s">
        <v>262</v>
      </c>
    </row>
    <row r="17" spans="1:4" ht="40.049999999999997" customHeight="1" x14ac:dyDescent="0.3">
      <c r="A17" s="9" t="s">
        <v>256</v>
      </c>
      <c r="B17" s="9" t="s">
        <v>114</v>
      </c>
      <c r="C17" s="9" t="s">
        <v>263</v>
      </c>
      <c r="D17" s="9" t="s">
        <v>264</v>
      </c>
    </row>
    <row r="18" spans="1:4" ht="40.049999999999997" customHeight="1" x14ac:dyDescent="0.3">
      <c r="A18" s="9" t="s">
        <v>256</v>
      </c>
      <c r="B18" s="9" t="s">
        <v>115</v>
      </c>
      <c r="C18" s="9" t="s">
        <v>265</v>
      </c>
      <c r="D18" s="9" t="s">
        <v>266</v>
      </c>
    </row>
    <row r="19" spans="1:4" ht="40.049999999999997" customHeight="1" x14ac:dyDescent="0.3">
      <c r="A19" s="9" t="s">
        <v>267</v>
      </c>
      <c r="B19" s="9" t="s">
        <v>144</v>
      </c>
      <c r="C19" s="9" t="s">
        <v>268</v>
      </c>
      <c r="D19" s="9" t="s">
        <v>269</v>
      </c>
    </row>
    <row r="20" spans="1:4" ht="40.049999999999997" customHeight="1" x14ac:dyDescent="0.3">
      <c r="A20" s="9" t="s">
        <v>267</v>
      </c>
      <c r="B20" s="9" t="s">
        <v>147</v>
      </c>
      <c r="C20" s="9" t="s">
        <v>270</v>
      </c>
      <c r="D20" s="9" t="s">
        <v>271</v>
      </c>
    </row>
    <row r="21" spans="1:4" ht="40.049999999999997" customHeight="1" x14ac:dyDescent="0.3">
      <c r="A21" s="9" t="s">
        <v>272</v>
      </c>
      <c r="B21" s="9" t="s">
        <v>184</v>
      </c>
      <c r="C21" s="9" t="s">
        <v>273</v>
      </c>
      <c r="D21" s="9" t="s">
        <v>274</v>
      </c>
    </row>
    <row r="22" spans="1:4" ht="40.049999999999997" customHeight="1" x14ac:dyDescent="0.3">
      <c r="A22" s="9" t="s">
        <v>272</v>
      </c>
      <c r="B22" s="9" t="s">
        <v>185</v>
      </c>
      <c r="C22" s="9" t="s">
        <v>275</v>
      </c>
      <c r="D22" s="9" t="s">
        <v>276</v>
      </c>
    </row>
    <row r="23" spans="1:4" ht="40.049999999999997" customHeight="1" x14ac:dyDescent="0.3">
      <c r="A23" s="9" t="s">
        <v>277</v>
      </c>
      <c r="B23" s="9" t="s">
        <v>278</v>
      </c>
      <c r="C23" s="9" t="s">
        <v>279</v>
      </c>
      <c r="D23" s="9" t="s">
        <v>280</v>
      </c>
    </row>
    <row r="24" spans="1:4" ht="40.049999999999997" customHeight="1" x14ac:dyDescent="0.3">
      <c r="A24" s="9" t="s">
        <v>277</v>
      </c>
      <c r="B24" s="9" t="s">
        <v>198</v>
      </c>
      <c r="C24" s="9" t="s">
        <v>281</v>
      </c>
      <c r="D24" s="9" t="s">
        <v>282</v>
      </c>
    </row>
    <row r="25" spans="1:4" ht="40.049999999999997" customHeight="1" x14ac:dyDescent="0.3">
      <c r="A25" s="9" t="s">
        <v>277</v>
      </c>
      <c r="B25" s="9" t="s">
        <v>199</v>
      </c>
      <c r="C25" s="9" t="s">
        <v>283</v>
      </c>
      <c r="D25" s="9" t="s">
        <v>284</v>
      </c>
    </row>
    <row r="26" spans="1:4" ht="40.049999999999997" customHeight="1" x14ac:dyDescent="0.3">
      <c r="A26" s="9" t="s">
        <v>285</v>
      </c>
      <c r="B26" s="9" t="s">
        <v>58</v>
      </c>
      <c r="C26" s="9" t="s">
        <v>286</v>
      </c>
      <c r="D26" s="9" t="s">
        <v>287</v>
      </c>
    </row>
  </sheetData>
  <printOptions horizontalCentered="1"/>
  <pageMargins left="0.25" right="0.25" top="0.4" bottom="0.4" header="0.5" footer="0.5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Instructions</vt:lpstr>
      <vt:lpstr>Dashboard</vt:lpstr>
      <vt:lpstr>PerformanceData</vt:lpstr>
      <vt:lpstr>MonthlyContext</vt:lpstr>
      <vt:lpstr>PremiumDetail</vt:lpstr>
      <vt:lpstr>ClaimsDetail</vt:lpstr>
      <vt:lpstr>ExpenseDetail</vt:lpstr>
      <vt:lpstr>Reconciliation</vt:lpstr>
      <vt:lpstr>ScenarioModel</vt:lpstr>
      <vt:lpstr>ChallengePrompts</vt:lpstr>
      <vt:lpstr>DataDictionary</vt:lpstr>
      <vt:lpstr>Dashboard!Print_Area</vt:lpstr>
      <vt:lpstr>ChallengePrompts!Print_Titles</vt:lpstr>
      <vt:lpstr>'ClaimsDetail'!Print_Titles</vt:lpstr>
      <vt:lpstr>Dashboard!Print_Titles</vt:lpstr>
      <vt:lpstr>DataDictionary!Print_Titles</vt:lpstr>
      <vt:lpstr>ExpenseDetail!Print_Titles</vt:lpstr>
      <vt:lpstr>Instructions!Print_Titles</vt:lpstr>
      <vt:lpstr>PremiumDetail!Print_Titles</vt:lpstr>
      <vt:lpstr>Reconciliation!Print_Titles</vt:lpstr>
      <vt:lpstr>ScenarioModel!Print_Titles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Northstar Life Monthly Performance</dc:title>
  <dc:subject>Synthetic finance analysis and verification training workbook</dc:subject>
  <dc:creator>AIA Copilot</dc:creator>
  <dc:description>Fictional Northstar Life training data. Not MassMutual data.</dc:description>
  <cp:lastModifiedBy>Scott Hay</cp:lastModifiedBy>
  <dcterms:created xsi:type="dcterms:W3CDTF">2026-08-12T18:03:51Z</dcterms:created>
  <dcterms:modified xsi:type="dcterms:W3CDTF">2026-09-10T00:11:55Z</dcterms:modified>
</cp:coreProperties>
</file>